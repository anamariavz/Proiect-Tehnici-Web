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Facultate-Ana\Proiect\resurse\"/>
    </mc:Choice>
  </mc:AlternateContent>
  <xr:revisionPtr revIDLastSave="0" documentId="13_ncr:1_{ADF217A9-ECD5-4EC2-B3CB-9543466B9C8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2" i="1"/>
  <c r="K2" i="1"/>
</calcChain>
</file>

<file path=xl/sharedStrings.xml><?xml version="1.0" encoding="utf-8"?>
<sst xmlns="http://schemas.openxmlformats.org/spreadsheetml/2006/main" count="426" uniqueCount="234">
  <si>
    <t>nume</t>
  </si>
  <si>
    <t>descriere</t>
  </si>
  <si>
    <t>pret</t>
  </si>
  <si>
    <t>tip serviciu</t>
  </si>
  <si>
    <t>imagine</t>
  </si>
  <si>
    <t>data_adaugare</t>
  </si>
  <si>
    <t>Profilaxie și igienizare dentară</t>
  </si>
  <si>
    <t>Consultație</t>
  </si>
  <si>
    <t>Detartraj cu ultrasunete + periaj profesional</t>
  </si>
  <si>
    <t>350 RON ​</t>
  </si>
  <si>
    <t>Air Flow total (ambele arcade)</t>
  </si>
  <si>
    <t>250 RON</t>
  </si>
  <si>
    <t>Periaj profesional Happy Brush</t>
  </si>
  <si>
    <t>150 RON​</t>
  </si>
  <si>
    <t xml:space="preserve">150 RON </t>
  </si>
  <si>
    <t>Estetică dentară</t>
  </si>
  <si>
    <t>Albire dentară</t>
  </si>
  <si>
    <t>1500 RON</t>
  </si>
  <si>
    <t>Fațete dentare ceramice (E-max)</t>
  </si>
  <si>
    <t>Fațete dentare Non-Prep</t>
  </si>
  <si>
    <t>Fațete dentare Full-Zirconiu</t>
  </si>
  <si>
    <t>Implant dentar Megagen, INNO (Coreea)</t>
  </si>
  <si>
    <t>Implant dentar ICX (Germania &amp; Elveția)</t>
  </si>
  <si>
    <t>Implant dentar Nobel (SUA)</t>
  </si>
  <si>
    <t>Bont protetic drept</t>
  </si>
  <si>
    <t>Bont protetic angulat</t>
  </si>
  <si>
    <t>Bont individualizat</t>
  </si>
  <si>
    <t>Bont protetic din zirconiu</t>
  </si>
  <si>
    <t>Implantologie</t>
  </si>
  <si>
    <t>Aparat dentar fix cu bracketi metalici / arcadă</t>
  </si>
  <si>
    <t xml:space="preserve">4800 RON </t>
  </si>
  <si>
    <t>Aparat dentar fix cu bracketi fizionomici / arcadă</t>
  </si>
  <si>
    <t>4900 RON ​</t>
  </si>
  <si>
    <t>Aparat dentar fix cu bracketi safir / arcadă</t>
  </si>
  <si>
    <t xml:space="preserve">6300 RON </t>
  </si>
  <si>
    <t xml:space="preserve">9000 RON </t>
  </si>
  <si>
    <t xml:space="preserve">12000 RON </t>
  </si>
  <si>
    <t>Aparat dentar mobil / arcadă</t>
  </si>
  <si>
    <t xml:space="preserve">1850 RON </t>
  </si>
  <si>
    <t>Tratament cu alignere aparat dentar invizibil INVISALIGN Teen / ambele arcade</t>
  </si>
  <si>
    <t>Tratament cu alignere aparat INVISALIGN LITE</t>
  </si>
  <si>
    <t>Ortodonție</t>
  </si>
  <si>
    <t xml:space="preserve">200 RON </t>
  </si>
  <si>
    <t>Tratament endodontic premolar</t>
  </si>
  <si>
    <t>250 RON ​</t>
  </si>
  <si>
    <t>Tratament endodontic dinte pluriradicular</t>
  </si>
  <si>
    <t>Retratament endodontic</t>
  </si>
  <si>
    <t>200 RON</t>
  </si>
  <si>
    <t>Endodonție</t>
  </si>
  <si>
    <t>Radiografie (radiologie dentară)</t>
  </si>
  <si>
    <t>Chirurgie dento-alveolară</t>
  </si>
  <si>
    <t>Stomatologie pediatrică</t>
  </si>
  <si>
    <t>Radiografie locală</t>
  </si>
  <si>
    <t xml:space="preserve">35 RON </t>
  </si>
  <si>
    <t>Radiografie panoramică digitală (OPG)</t>
  </si>
  <si>
    <t>100 RON ​</t>
  </si>
  <si>
    <t>Tomografie completă maxilară/mandibulară</t>
  </si>
  <si>
    <t>750 RON ​</t>
  </si>
  <si>
    <t>450 RON</t>
  </si>
  <si>
    <t>Extracție dinte monoradicular</t>
  </si>
  <si>
    <t xml:space="preserve">250 RON </t>
  </si>
  <si>
    <t>Extracție dinte pluriradicular</t>
  </si>
  <si>
    <t xml:space="preserve">300 RON </t>
  </si>
  <si>
    <t>Extracție molar de minte</t>
  </si>
  <si>
    <t xml:space="preserve">500 RON </t>
  </si>
  <si>
    <t>Extracție dinte temporar</t>
  </si>
  <si>
    <t xml:space="preserve">120 RON </t>
  </si>
  <si>
    <t>Rezecție apicală</t>
  </si>
  <si>
    <t>400 RON ​</t>
  </si>
  <si>
    <t>Drenaj abces</t>
  </si>
  <si>
    <t xml:space="preserve">100 RON </t>
  </si>
  <si>
    <t>Consultație stomatologie pediatrică</t>
  </si>
  <si>
    <t>Consultație pedodontică de specialitate</t>
  </si>
  <si>
    <t>Inhalosedare cu protoxid de azot pentru copii / ședință</t>
  </si>
  <si>
    <t xml:space="preserve">450 RON </t>
  </si>
  <si>
    <t>90 RON</t>
  </si>
  <si>
    <t xml:space="preserve">Anestezie locală computerizată DentaPen / sedinta </t>
  </si>
  <si>
    <t>150 RON</t>
  </si>
  <si>
    <t xml:space="preserve">Aparat dentar fix sistem DAMON / arcadă: </t>
  </si>
  <si>
    <t xml:space="preserve">Aparat dentar fix lingual individualizat WIN / arcadă: </t>
  </si>
  <si>
    <t xml:space="preserve">Aparat dentar fix lingual INCOGNITO / arcadă: </t>
  </si>
  <si>
    <t>Tratament endodontic dinte monoradicular​</t>
  </si>
  <si>
    <t>Utilizarea microscopului ​</t>
  </si>
  <si>
    <t xml:space="preserve">Tomografie parțială maxilară/mandibulară </t>
  </si>
  <si>
    <t xml:space="preserve">Sigilare dentară (dinte sănătos, prevenție carii)/dinte </t>
  </si>
  <si>
    <t xml:space="preserve">Tratament carie dentară (obturatie)/dinte </t>
  </si>
  <si>
    <t>Evaluare medicală orală și plan de tratament.</t>
  </si>
  <si>
    <t>Curățare completă a tartrului și lustruire dentară.</t>
  </si>
  <si>
    <t>Curățare cu jet de aer, apă și pulbere, pentru pete și placă.</t>
  </si>
  <si>
    <t>Periaj specializat pentru igienizare și luciu dentar.</t>
  </si>
  <si>
    <t>Tratament pentru deschiderea nuanței dinților.</t>
  </si>
  <si>
    <t>Fațete estetice rezistente, din ceramică presată.</t>
  </si>
  <si>
    <t>Fațete opace, foarte rezistente, din zirconiu integral.</t>
  </si>
  <si>
    <t>Fațete aplicate fără șlefuirea dinților.</t>
  </si>
  <si>
    <t>Rădăcină dentară artificială, origine Coreea.</t>
  </si>
  <si>
    <t>Implant premium german-elvețian.</t>
  </si>
  <si>
    <t>Implant de top, fabricat în SUA.</t>
  </si>
  <si>
    <t>Piesă care susține coroana pe implant, fără unghi.</t>
  </si>
  <si>
    <t>Piesă pe implant cu înclinație pentru aliniere.</t>
  </si>
  <si>
    <t>Piesă personalizată pentru restaurări precise.</t>
  </si>
  <si>
    <t>Bont estetic, alb, din zirconiu.</t>
  </si>
  <si>
    <t>Corecție ortodontică clasică, cu metal.</t>
  </si>
  <si>
    <t>Bracketi colorați în nuanța dinților.</t>
  </si>
  <si>
    <t>Bracketi transparenți, din safir.</t>
  </si>
  <si>
    <t>Sistem cu frecare redusă, confort crescut.</t>
  </si>
  <si>
    <t>Aparat invizibil, montat pe interior.</t>
  </si>
  <si>
    <t>Ortodonție invizibilă de lux, internă.</t>
  </si>
  <si>
    <t>Dispozitiv detașabil pentru copii sau corecții minore.</t>
  </si>
  <si>
    <t>Gutieră transparentă pentru corecții minore.</t>
  </si>
  <si>
    <t>Aliniatori transparenți pentru adolescenți.</t>
  </si>
  <si>
    <t>Curățare și sigilare canal la dinte cu o rădăcină.</t>
  </si>
  <si>
    <t>Tratament de canal pentru premolar.</t>
  </si>
  <si>
    <t>Curățare canale pentru molari.</t>
  </si>
  <si>
    <t>Refacere tratament canal anterior.</t>
  </si>
  <si>
    <t>Precizie maximă în tratamente dentare.</t>
  </si>
  <si>
    <t>Imagine a unei zone restrânse dentare.</t>
  </si>
  <si>
    <t>Imagine completă a maxilarelor și dinților.</t>
  </si>
  <si>
    <t>Imagine 3D completă pentru diagnostic detaliat.</t>
  </si>
  <si>
    <t>Scanare 3D a unei zone limitate.</t>
  </si>
  <si>
    <t>Îndepărtare dinte cu o rădăcină.</t>
  </si>
  <si>
    <t>Îndepărtare molar cu mai multe rădăcini.</t>
  </si>
  <si>
    <t>Îndepărtare măsea de minte.</t>
  </si>
  <si>
    <t>Scoaterea unui dinte de lapte.</t>
  </si>
  <si>
    <t>Îndepărtarea vârfului unei rădăcini infectate.</t>
  </si>
  <si>
    <t>Eliminarea puroiului dintr-o infecție.</t>
  </si>
  <si>
    <t>Verificare orală pentru copii.</t>
  </si>
  <si>
    <t>Evaluare detaliată la specialist pentru copii.</t>
  </si>
  <si>
    <t>Anestezie precisă și confortabilă.</t>
  </si>
  <si>
    <t>Relaxare ușoară pentru copii anxioși.</t>
  </si>
  <si>
    <t>Protecție împotriva cariilor pentru dinți sănătoși.</t>
  </si>
  <si>
    <t>Curățare și plombare carie dentară.</t>
  </si>
  <si>
    <t>15–30 min</t>
  </si>
  <si>
    <t>30–40 min</t>
  </si>
  <si>
    <t>20–30 min</t>
  </si>
  <si>
    <t>15–20 min</t>
  </si>
  <si>
    <t>45–60 min</t>
  </si>
  <si>
    <t>60–90 min</t>
  </si>
  <si>
    <t>60 min</t>
  </si>
  <si>
    <t>30 min</t>
  </si>
  <si>
    <t>30–60 min</t>
  </si>
  <si>
    <t>120–180 min</t>
  </si>
  <si>
    <t>60–75 min</t>
  </si>
  <si>
    <t>75–90 min</t>
  </si>
  <si>
    <t>90–120 min</t>
  </si>
  <si>
    <t>5–10 min</t>
  </si>
  <si>
    <t>10–15 min</t>
  </si>
  <si>
    <t>30–45 min</t>
  </si>
  <si>
    <t>categorie</t>
  </si>
  <si>
    <t>Consult stomatologic</t>
  </si>
  <si>
    <t>Detartraj complet</t>
  </si>
  <si>
    <t>Air Flow</t>
  </si>
  <si>
    <t>Periaj mecanic</t>
  </si>
  <si>
    <t>Fațete E-max</t>
  </si>
  <si>
    <t>Fațete zirconiu</t>
  </si>
  <si>
    <t>Fațete non-prep</t>
  </si>
  <si>
    <t>Implant Megagen</t>
  </si>
  <si>
    <t>Implant ICX</t>
  </si>
  <si>
    <t>Implant Nobel</t>
  </si>
  <si>
    <t>Bont drept</t>
  </si>
  <si>
    <t>Bont angulat</t>
  </si>
  <si>
    <t>Bont personalizat</t>
  </si>
  <si>
    <t>Bont zirconiu</t>
  </si>
  <si>
    <t>Invisalign Lite</t>
  </si>
  <si>
    <t>Invisalign Teen</t>
  </si>
  <si>
    <t>Endo monoradicular</t>
  </si>
  <si>
    <t>Endo premolar</t>
  </si>
  <si>
    <t>Endo pluriradicular</t>
  </si>
  <si>
    <t>Endo refacere</t>
  </si>
  <si>
    <t>Microscop endo</t>
  </si>
  <si>
    <t>Rx locală</t>
  </si>
  <si>
    <t>Rx panoramică</t>
  </si>
  <si>
    <t>CT complet</t>
  </si>
  <si>
    <t>CT parțial</t>
  </si>
  <si>
    <t>Extracție simplă</t>
  </si>
  <si>
    <t>Extracție molar</t>
  </si>
  <si>
    <t>Extracție minte</t>
  </si>
  <si>
    <t>Extracție temporar</t>
  </si>
  <si>
    <t>Consult copil</t>
  </si>
  <si>
    <t>Pedodont special</t>
  </si>
  <si>
    <t>Anestezie digitală</t>
  </si>
  <si>
    <t>Inhalosedare copil</t>
  </si>
  <si>
    <t>Sigilare carii</t>
  </si>
  <si>
    <t>Plombă dentară</t>
  </si>
  <si>
    <t>Aparat fix</t>
  </si>
  <si>
    <t>Aparat lingual</t>
  </si>
  <si>
    <t>Aparat mobil</t>
  </si>
  <si>
    <t>necesita_anestezie</t>
  </si>
  <si>
    <t>grad_complexitate</t>
  </si>
  <si>
    <t>Redusă</t>
  </si>
  <si>
    <t>Medie</t>
  </si>
  <si>
    <t>Ridicată</t>
  </si>
  <si>
    <t>materiale_folosite</t>
  </si>
  <si>
    <t>timp_executie</t>
  </si>
  <si>
    <t>10000 RON</t>
  </si>
  <si>
    <t>15000 RON</t>
  </si>
  <si>
    <t>1000 RON ​</t>
  </si>
  <si>
    <t>5000 RON</t>
  </si>
  <si>
    <t>3200 RON</t>
  </si>
  <si>
    <t>2700 RON</t>
  </si>
  <si>
    <t>2500 RON</t>
  </si>
  <si>
    <t>1250 RON</t>
  </si>
  <si>
    <t>{"Perii", "ultrasunete", "gel"}</t>
  </si>
  <si>
    <t>{"Aliniatori", "arcuri", "suporturi"}</t>
  </si>
  <si>
    <t>{"Echipamente_evaluare"}</t>
  </si>
  <si>
    <t>{"Aparat_Air_Flow", "pulbere", "apă"}</t>
  </si>
  <si>
    <t>{"Perii_Happy_Brush", "pastă"}</t>
  </si>
  <si>
    <t>{"Gel_albire", "lampă_UV"}</t>
  </si>
  <si>
    <t>{"Fațete_E-max", "ciment"}</t>
  </si>
  <si>
    <t>{"Fațete_zirconiu", "ciment"}</t>
  </si>
  <si>
    <t>{"Fațete_compozit", "fatete_ceramic", "ciment"}</t>
  </si>
  <si>
    <t>{"Implant", "șuruburi", "abutment", "kit_chirurgical"}</t>
  </si>
  <si>
    <t>{"Bont_metal", "ciment"}</t>
  </si>
  <si>
    <t>{"Bont_personalizat", "ciment"}</t>
  </si>
  <si>
    <t>{"Bont_zirconiu", "ciment"}</t>
  </si>
  <si>
    <t>{"Microscop_dentar", "instrumente_chirurgicale"}</t>
  </si>
  <si>
    <t>{"Film_radiografic_sau_digital"}</t>
  </si>
  <si>
    <t>{"Film_panoramic_sau_digital"}</t>
  </si>
  <si>
    <t>{"Tomograf", "echipamente_imagistică_3D"}</t>
  </si>
  <si>
    <t>{"Anestezic_local", "instrumente_extracție"}</t>
  </si>
  <si>
    <t>{"Instrumente_chirurgicale", "anestezic", "material_sutură"}</t>
  </si>
  <si>
    <t>{"Instrumente_chirurgicale", "drenuri", "anestezic"}</t>
  </si>
  <si>
    <t>{"Dispozitiv_DentaPen", "anestezic"}</t>
  </si>
  <si>
    <t>{"Echipamente_inhalosedare", "protoxid_de_azot"}</t>
  </si>
  <si>
    <t>{"Materiale_sigilante", "aplicatoare"}</t>
  </si>
  <si>
    <t>{"compozit", "amalgam", "fotopolimerizabil"}</t>
  </si>
  <si>
    <t>{"Bracketi_safir", "arcuri_linguale"}</t>
  </si>
  <si>
    <t>{"Bracketi_fizionomici", "arcuri_linguale"}</t>
  </si>
  <si>
    <t>{"Bracketi_metalici", "arcuri_linguale"}</t>
  </si>
  <si>
    <t>{"Bracketi_DAMON", "arcuri_linguale"}</t>
  </si>
  <si>
    <t>{"Bracketi_WIN", "arcuri_linguale"}</t>
  </si>
  <si>
    <t>{"Bracketi_INCOGNITO", "arcuri_linguale"}</t>
  </si>
  <si>
    <t>{"Aliniatori_Invisalign", "materiale_imobilizare"}</t>
  </si>
  <si>
    <t>{"Aliniatori_Invisalign_Teen", "materiale imobilizare"}</t>
  </si>
  <si>
    <t>{"conuri", "instrumente_endodontice", "pastă"}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</si>
</sst>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'\A\i\r\ \F\l\o\w\ \t\o\t\a\l\ \(\ambbe\le\ \a\r\c\ade\)\.\j\pg\'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2" fontId="0" fillId="0" borderId="0" xfId="0" applyNumberFormat="1" applyFont="1" applyAlignment="1">
      <alignment vertical="center"/>
    </xf>
    <xf numFmtId="2" fontId="0" fillId="0" borderId="0" xfId="0" applyNumberFormat="1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48"/>
  <sheetViews>
    <sheetView tabSelected="1" topLeftCell="C6" zoomScale="47" zoomScaleNormal="47" workbookViewId="0">
      <selection activeCell="B2" sqref="B2:K46"/>
    </sheetView>
  </sheetViews>
  <sheetFormatPr defaultRowHeight="14.5" x14ac:dyDescent="0.35"/>
  <cols>
    <col min="2" max="2" width="86.36328125" bestFit="1" customWidth="1"/>
    <col min="3" max="3" width="50.08984375" bestFit="1" customWidth="1"/>
    <col min="4" max="4" width="10.453125" style="9" bestFit="1" customWidth="1"/>
    <col min="5" max="5" width="20.6328125" bestFit="1" customWidth="1"/>
    <col min="6" max="6" width="18.08984375" bestFit="1" customWidth="1"/>
    <col min="7" max="7" width="29.90625" style="3" bestFit="1" customWidth="1"/>
    <col min="8" max="8" width="34.90625" bestFit="1" customWidth="1"/>
    <col min="9" max="9" width="19.08984375" bestFit="1" customWidth="1"/>
    <col min="10" max="10" width="62.6328125" bestFit="1" customWidth="1"/>
    <col min="11" max="11" width="67.1796875" bestFit="1" customWidth="1"/>
    <col min="12" max="12" width="13.453125" bestFit="1" customWidth="1"/>
    <col min="18" max="18" width="81.08984375" bestFit="1" customWidth="1"/>
    <col min="19" max="19" width="32.1796875" bestFit="1" customWidth="1"/>
    <col min="20" max="20" width="29.90625" style="3" bestFit="1" customWidth="1"/>
    <col min="21" max="21" width="18.08984375" bestFit="1" customWidth="1"/>
    <col min="22" max="22" width="20.6328125" bestFit="1" customWidth="1"/>
    <col min="23" max="23" width="50.08984375" bestFit="1" customWidth="1"/>
    <col min="25" max="25" width="86.36328125" bestFit="1" customWidth="1"/>
    <col min="27" max="27" width="57.54296875" customWidth="1"/>
    <col min="28" max="28" width="19.08984375" bestFit="1" customWidth="1"/>
    <col min="29" max="29" width="10.453125" style="9" bestFit="1" customWidth="1"/>
  </cols>
  <sheetData>
    <row r="1" spans="1:29" x14ac:dyDescent="0.35">
      <c r="A1" s="6"/>
      <c r="B1" s="6" t="s">
        <v>0</v>
      </c>
      <c r="C1" s="6" t="s">
        <v>1</v>
      </c>
      <c r="D1" s="8" t="s">
        <v>2</v>
      </c>
      <c r="E1" s="6" t="s">
        <v>192</v>
      </c>
      <c r="F1" s="6" t="s">
        <v>187</v>
      </c>
      <c r="G1" s="6" t="s">
        <v>3</v>
      </c>
      <c r="H1" s="6" t="s">
        <v>147</v>
      </c>
      <c r="I1" s="6" t="s">
        <v>186</v>
      </c>
      <c r="J1" s="6" t="s">
        <v>191</v>
      </c>
      <c r="K1" s="1" t="s">
        <v>4</v>
      </c>
      <c r="L1" s="1" t="s">
        <v>5</v>
      </c>
      <c r="R1" s="3" t="s">
        <v>0</v>
      </c>
      <c r="S1" s="6" t="s">
        <v>147</v>
      </c>
      <c r="T1" s="6" t="s">
        <v>3</v>
      </c>
      <c r="U1" s="6" t="s">
        <v>187</v>
      </c>
      <c r="V1" s="6" t="s">
        <v>192</v>
      </c>
      <c r="W1" s="6" t="s">
        <v>1</v>
      </c>
      <c r="Y1" s="6" t="s">
        <v>0</v>
      </c>
      <c r="AA1" s="6" t="s">
        <v>191</v>
      </c>
      <c r="AB1" s="6" t="s">
        <v>186</v>
      </c>
      <c r="AC1" s="8" t="s">
        <v>2</v>
      </c>
    </row>
    <row r="2" spans="1:29" ht="15.5" x14ac:dyDescent="0.35">
      <c r="A2" s="6"/>
      <c r="B2" s="7" t="str">
        <f>"(" &amp; "'" &amp; Y2 &amp; "'" &amp; ", "</f>
        <v xml:space="preserve">('Consultație', </v>
      </c>
      <c r="C2" s="1" t="str">
        <f xml:space="preserve"> "'" &amp; W2 &amp; "'" &amp; ", "</f>
        <v xml:space="preserve">'Evaluare medicală orală și plan de tratament.', </v>
      </c>
      <c r="D2" s="8" t="str">
        <f xml:space="preserve"> AC2 &amp; ", "</f>
        <v xml:space="preserve">150, </v>
      </c>
      <c r="E2" s="1" t="str">
        <f xml:space="preserve"> "'" &amp; V2 &amp; "'" &amp; ", "</f>
        <v xml:space="preserve">'15–30 min', </v>
      </c>
      <c r="F2" s="1" t="str">
        <f xml:space="preserve"> "'" &amp; U2 &amp; "'" &amp; ", "</f>
        <v xml:space="preserve">'Redusă', </v>
      </c>
      <c r="G2" s="5" t="str">
        <f xml:space="preserve"> "'" &amp; T2 &amp; "'" &amp; ", "</f>
        <v xml:space="preserve">'Consult stomatologic', </v>
      </c>
      <c r="H2" s="4" t="str">
        <f xml:space="preserve"> "'" &amp; S2 &amp; "'" &amp; ", "</f>
        <v xml:space="preserve">'Profilaxie și igienizare dentară', </v>
      </c>
      <c r="I2" s="5" t="str">
        <f xml:space="preserve"> AB2 &amp; ", "</f>
        <v xml:space="preserve">FALSE, </v>
      </c>
      <c r="J2" s="5" t="str">
        <f xml:space="preserve"> "'" &amp; AA2 &amp; "'" &amp;  ", "</f>
        <v xml:space="preserve">'{"Echipamente_evaluare"}', </v>
      </c>
      <c r="K2" s="10" t="str">
        <f xml:space="preserve"> " ' " &amp; R2 &amp; ".jpg" &amp; " ' " &amp; " ),"</f>
        <v xml:space="preserve"> ' Consultație.jpg '  ),</v>
      </c>
      <c r="L2" s="1"/>
      <c r="P2" s="6" t="s">
        <v>14</v>
      </c>
      <c r="R2" s="7" t="s">
        <v>7</v>
      </c>
      <c r="S2" s="4" t="s">
        <v>6</v>
      </c>
      <c r="T2" s="5" t="s">
        <v>148</v>
      </c>
      <c r="U2" s="1" t="s">
        <v>188</v>
      </c>
      <c r="V2" s="1" t="s">
        <v>131</v>
      </c>
      <c r="W2" s="1" t="s">
        <v>86</v>
      </c>
      <c r="Y2" s="7" t="s">
        <v>7</v>
      </c>
      <c r="AA2" s="5" t="s">
        <v>203</v>
      </c>
      <c r="AB2" s="5" t="b">
        <v>0</v>
      </c>
      <c r="AC2" s="8">
        <v>150</v>
      </c>
    </row>
    <row r="3" spans="1:29" ht="15.5" x14ac:dyDescent="0.35">
      <c r="A3" s="6"/>
      <c r="B3" s="7" t="str">
        <f t="shared" ref="B3:B46" si="0">"(" &amp; "'" &amp; Y3 &amp; "'" &amp; ", "</f>
        <v xml:space="preserve">('Detartraj cu ultrasunete + periaj profesional', </v>
      </c>
      <c r="C3" s="1" t="str">
        <f t="shared" ref="C3:C46" si="1" xml:space="preserve"> "'" &amp; W3 &amp; "'" &amp; ", "</f>
        <v xml:space="preserve">'Curățare completă a tartrului și lustruire dentară.', </v>
      </c>
      <c r="D3" s="8" t="str">
        <f t="shared" ref="D3:D46" si="2" xml:space="preserve"> AC3 &amp; ", "</f>
        <v xml:space="preserve">350, </v>
      </c>
      <c r="E3" s="1" t="str">
        <f t="shared" ref="E3:E46" si="3" xml:space="preserve"> "'" &amp; V3 &amp; "'" &amp; ", "</f>
        <v xml:space="preserve">'30–40 min', </v>
      </c>
      <c r="F3" s="1" t="str">
        <f t="shared" ref="F3:F46" si="4" xml:space="preserve"> "'" &amp; U3 &amp; "'" &amp; ", "</f>
        <v xml:space="preserve">'Redusă', </v>
      </c>
      <c r="G3" s="5" t="str">
        <f t="shared" ref="G3:G46" si="5" xml:space="preserve"> "'" &amp; T3 &amp; "'" &amp; ", "</f>
        <v xml:space="preserve">'Detartraj complet', </v>
      </c>
      <c r="H3" s="4" t="str">
        <f t="shared" ref="H3:H46" si="6" xml:space="preserve"> "'" &amp; S3 &amp; "'" &amp; ", "</f>
        <v xml:space="preserve">'Profilaxie și igienizare dentară', </v>
      </c>
      <c r="I3" s="5" t="str">
        <f t="shared" ref="I3:I46" si="7" xml:space="preserve"> AB3 &amp; ", "</f>
        <v xml:space="preserve">FALSE, </v>
      </c>
      <c r="J3" s="5" t="str">
        <f t="shared" ref="J3:J46" si="8" xml:space="preserve"> "'" &amp; AA3 &amp; "'" &amp;  ", "</f>
        <v xml:space="preserve">'{"Perii", "ultrasunete", "gel"}', </v>
      </c>
      <c r="K3" s="10" t="str">
        <f xml:space="preserve"> "'" &amp; R3 &amp; ".jpg" &amp; "'" &amp; "),"</f>
        <v>'Detartraj cu ultrasunete + periaj profesional.jpg'),</v>
      </c>
      <c r="L3" s="1"/>
      <c r="P3" s="6" t="s">
        <v>9</v>
      </c>
      <c r="R3" s="7" t="s">
        <v>8</v>
      </c>
      <c r="S3" s="4" t="s">
        <v>6</v>
      </c>
      <c r="T3" s="5" t="s">
        <v>149</v>
      </c>
      <c r="U3" s="1" t="s">
        <v>188</v>
      </c>
      <c r="V3" s="1" t="s">
        <v>132</v>
      </c>
      <c r="W3" s="1" t="s">
        <v>87</v>
      </c>
      <c r="Y3" s="7" t="s">
        <v>8</v>
      </c>
      <c r="AA3" s="5" t="s">
        <v>201</v>
      </c>
      <c r="AB3" s="5" t="b">
        <v>0</v>
      </c>
      <c r="AC3" s="8">
        <v>350</v>
      </c>
    </row>
    <row r="4" spans="1:29" ht="15.5" x14ac:dyDescent="0.35">
      <c r="A4" s="6"/>
      <c r="B4" s="7" t="str">
        <f t="shared" si="0"/>
        <v xml:space="preserve">('Air Flow total (ambele arcade)', </v>
      </c>
      <c r="C4" s="1" t="str">
        <f t="shared" si="1"/>
        <v xml:space="preserve">'Curățare cu jet de aer, apă și pulbere, pentru pete și placă.', </v>
      </c>
      <c r="D4" s="8" t="str">
        <f t="shared" si="2"/>
        <v xml:space="preserve">250, </v>
      </c>
      <c r="E4" s="1" t="str">
        <f t="shared" si="3"/>
        <v xml:space="preserve">'20–30 min', </v>
      </c>
      <c r="F4" s="1" t="str">
        <f t="shared" si="4"/>
        <v xml:space="preserve">'Redusă', </v>
      </c>
      <c r="G4" s="5" t="str">
        <f t="shared" si="5"/>
        <v xml:space="preserve">'Air Flow', </v>
      </c>
      <c r="H4" s="4" t="str">
        <f t="shared" si="6"/>
        <v xml:space="preserve">'Profilaxie și igienizare dentară', </v>
      </c>
      <c r="I4" s="5" t="str">
        <f t="shared" si="7"/>
        <v xml:space="preserve">FALSE, </v>
      </c>
      <c r="J4" s="5" t="str">
        <f t="shared" si="8"/>
        <v xml:space="preserve">'{"Aparat_Air_Flow", "pulbere", "apă"}', </v>
      </c>
      <c r="K4" s="10" t="str">
        <f t="shared" ref="K4:K46" si="9" xml:space="preserve"> "'" &amp; R4 &amp; ".jpg" &amp; "'" &amp; "),"</f>
        <v>'Air Flow total (ambele arcade).jpg'),</v>
      </c>
      <c r="L4" s="1"/>
      <c r="P4" s="6" t="s">
        <v>11</v>
      </c>
      <c r="R4" s="7" t="s">
        <v>10</v>
      </c>
      <c r="S4" s="4" t="s">
        <v>6</v>
      </c>
      <c r="T4" s="5" t="s">
        <v>150</v>
      </c>
      <c r="U4" s="1" t="s">
        <v>188</v>
      </c>
      <c r="V4" s="1" t="s">
        <v>133</v>
      </c>
      <c r="W4" s="1" t="s">
        <v>88</v>
      </c>
      <c r="Y4" s="7" t="s">
        <v>10</v>
      </c>
      <c r="AA4" s="5" t="s">
        <v>204</v>
      </c>
      <c r="AB4" s="5" t="b">
        <v>0</v>
      </c>
      <c r="AC4" s="8">
        <v>250</v>
      </c>
    </row>
    <row r="5" spans="1:29" ht="15.5" x14ac:dyDescent="0.35">
      <c r="A5" s="6"/>
      <c r="B5" s="7" t="str">
        <f t="shared" si="0"/>
        <v xml:space="preserve">('Periaj profesional Happy Brush', </v>
      </c>
      <c r="C5" s="1" t="str">
        <f t="shared" si="1"/>
        <v xml:space="preserve">'Periaj specializat pentru igienizare și luciu dentar.', </v>
      </c>
      <c r="D5" s="8" t="str">
        <f t="shared" si="2"/>
        <v xml:space="preserve">150, </v>
      </c>
      <c r="E5" s="1" t="str">
        <f t="shared" si="3"/>
        <v xml:space="preserve">'15–20 min', </v>
      </c>
      <c r="F5" s="1" t="str">
        <f t="shared" si="4"/>
        <v xml:space="preserve">'Redusă', </v>
      </c>
      <c r="G5" s="5" t="str">
        <f t="shared" si="5"/>
        <v xml:space="preserve">'Periaj mecanic', </v>
      </c>
      <c r="H5" s="4" t="str">
        <f t="shared" si="6"/>
        <v xml:space="preserve">'Profilaxie și igienizare dentară', </v>
      </c>
      <c r="I5" s="5" t="str">
        <f t="shared" si="7"/>
        <v xml:space="preserve">FALSE, </v>
      </c>
      <c r="J5" s="5" t="str">
        <f t="shared" si="8"/>
        <v xml:space="preserve">'{"Perii_Happy_Brush", "pastă"}', </v>
      </c>
      <c r="K5" s="10" t="str">
        <f t="shared" si="9"/>
        <v>'Periaj profesional Happy Brush.jpg'),</v>
      </c>
      <c r="L5" s="1"/>
      <c r="P5" s="6" t="s">
        <v>13</v>
      </c>
      <c r="R5" s="7" t="s">
        <v>12</v>
      </c>
      <c r="S5" s="4" t="s">
        <v>6</v>
      </c>
      <c r="T5" s="5" t="s">
        <v>151</v>
      </c>
      <c r="U5" s="1" t="s">
        <v>188</v>
      </c>
      <c r="V5" s="1" t="s">
        <v>134</v>
      </c>
      <c r="W5" s="1" t="s">
        <v>89</v>
      </c>
      <c r="Y5" s="7" t="s">
        <v>12</v>
      </c>
      <c r="AA5" s="5" t="s">
        <v>205</v>
      </c>
      <c r="AB5" s="5" t="b">
        <v>0</v>
      </c>
      <c r="AC5" s="8">
        <v>150</v>
      </c>
    </row>
    <row r="6" spans="1:29" ht="15.5" x14ac:dyDescent="0.35">
      <c r="A6" s="6"/>
      <c r="B6" s="7" t="str">
        <f t="shared" si="0"/>
        <v xml:space="preserve">('Albire dentară', </v>
      </c>
      <c r="C6" s="1" t="str">
        <f t="shared" si="1"/>
        <v xml:space="preserve">'Tratament pentru deschiderea nuanței dinților.', </v>
      </c>
      <c r="D6" s="8" t="str">
        <f t="shared" si="2"/>
        <v xml:space="preserve">1500, </v>
      </c>
      <c r="E6" s="1" t="str">
        <f t="shared" si="3"/>
        <v xml:space="preserve">'45–60 min', </v>
      </c>
      <c r="F6" s="1" t="str">
        <f t="shared" si="4"/>
        <v xml:space="preserve">'Medie', </v>
      </c>
      <c r="G6" s="5" t="str">
        <f t="shared" si="5"/>
        <v xml:space="preserve">'Albire dentară', </v>
      </c>
      <c r="H6" s="4" t="str">
        <f t="shared" si="6"/>
        <v xml:space="preserve">'Estetică dentară', </v>
      </c>
      <c r="I6" s="5" t="str">
        <f t="shared" si="7"/>
        <v xml:space="preserve">FALSE, </v>
      </c>
      <c r="J6" s="5" t="str">
        <f t="shared" si="8"/>
        <v xml:space="preserve">'{"Gel_albire", "lampă_UV"}', </v>
      </c>
      <c r="K6" s="10" t="str">
        <f t="shared" si="9"/>
        <v>'Albire dentară.jpg'),</v>
      </c>
      <c r="L6" s="1"/>
      <c r="P6" s="6" t="s">
        <v>17</v>
      </c>
      <c r="R6" s="7" t="s">
        <v>16</v>
      </c>
      <c r="S6" s="4" t="s">
        <v>15</v>
      </c>
      <c r="T6" s="5" t="s">
        <v>16</v>
      </c>
      <c r="U6" s="1" t="s">
        <v>189</v>
      </c>
      <c r="V6" s="1" t="s">
        <v>135</v>
      </c>
      <c r="W6" s="1" t="s">
        <v>90</v>
      </c>
      <c r="Y6" s="7" t="s">
        <v>16</v>
      </c>
      <c r="AA6" s="5" t="s">
        <v>206</v>
      </c>
      <c r="AB6" s="5" t="b">
        <v>0</v>
      </c>
      <c r="AC6" s="8">
        <v>1500</v>
      </c>
    </row>
    <row r="7" spans="1:29" ht="15.5" x14ac:dyDescent="0.35">
      <c r="A7" s="6"/>
      <c r="B7" s="7" t="str">
        <f t="shared" si="0"/>
        <v xml:space="preserve">('Fațete dentare ceramice (E-max)', </v>
      </c>
      <c r="C7" s="1" t="str">
        <f t="shared" si="1"/>
        <v xml:space="preserve">'Fațete estetice rezistente, din ceramică presată.', </v>
      </c>
      <c r="D7" s="8" t="str">
        <f t="shared" si="2"/>
        <v xml:space="preserve">1500, </v>
      </c>
      <c r="E7" s="1" t="str">
        <f t="shared" si="3"/>
        <v xml:space="preserve">'60–90 min', </v>
      </c>
      <c r="F7" s="1" t="str">
        <f t="shared" si="4"/>
        <v xml:space="preserve">'Ridicată', </v>
      </c>
      <c r="G7" s="5" t="str">
        <f t="shared" si="5"/>
        <v xml:space="preserve">'Fațete E-max', </v>
      </c>
      <c r="H7" s="4" t="str">
        <f t="shared" si="6"/>
        <v xml:space="preserve">'Estetică dentară', </v>
      </c>
      <c r="I7" s="5" t="str">
        <f t="shared" si="7"/>
        <v xml:space="preserve">TRUE, </v>
      </c>
      <c r="J7" s="5" t="str">
        <f t="shared" si="8"/>
        <v xml:space="preserve">'{"Fațete_E-max", "ciment"}', </v>
      </c>
      <c r="K7" s="10" t="str">
        <f t="shared" si="9"/>
        <v>'Fațete dentare ceramice (E-max).jpg'),</v>
      </c>
      <c r="L7" s="1"/>
      <c r="P7" s="6" t="s">
        <v>17</v>
      </c>
      <c r="R7" s="7" t="s">
        <v>18</v>
      </c>
      <c r="S7" s="4" t="s">
        <v>15</v>
      </c>
      <c r="T7" s="5" t="s">
        <v>152</v>
      </c>
      <c r="U7" s="1" t="s">
        <v>190</v>
      </c>
      <c r="V7" s="1" t="s">
        <v>136</v>
      </c>
      <c r="W7" s="1" t="s">
        <v>91</v>
      </c>
      <c r="Y7" s="7" t="s">
        <v>18</v>
      </c>
      <c r="AA7" s="5" t="s">
        <v>207</v>
      </c>
      <c r="AB7" s="5" t="b">
        <v>1</v>
      </c>
      <c r="AC7" s="8">
        <v>1500</v>
      </c>
    </row>
    <row r="8" spans="1:29" ht="15.5" x14ac:dyDescent="0.35">
      <c r="A8" s="6"/>
      <c r="B8" s="7" t="str">
        <f t="shared" si="0"/>
        <v xml:space="preserve">('Fațete dentare Full-Zirconiu', </v>
      </c>
      <c r="C8" s="1" t="str">
        <f t="shared" si="1"/>
        <v xml:space="preserve">'Fațete opace, foarte rezistente, din zirconiu integral.', </v>
      </c>
      <c r="D8" s="8" t="str">
        <f t="shared" si="2"/>
        <v xml:space="preserve">1250, </v>
      </c>
      <c r="E8" s="1" t="str">
        <f t="shared" si="3"/>
        <v xml:space="preserve">'60–90 min', </v>
      </c>
      <c r="F8" s="1" t="str">
        <f t="shared" si="4"/>
        <v xml:space="preserve">'Ridicată', </v>
      </c>
      <c r="G8" s="5" t="str">
        <f t="shared" si="5"/>
        <v xml:space="preserve">'Fațete zirconiu', </v>
      </c>
      <c r="H8" s="4" t="str">
        <f t="shared" si="6"/>
        <v xml:space="preserve">'Estetică dentară', </v>
      </c>
      <c r="I8" s="5" t="str">
        <f t="shared" si="7"/>
        <v xml:space="preserve">TRUE, </v>
      </c>
      <c r="J8" s="5" t="str">
        <f t="shared" si="8"/>
        <v xml:space="preserve">'{"Fațete_zirconiu", "ciment"}', </v>
      </c>
      <c r="K8" s="10" t="str">
        <f t="shared" si="9"/>
        <v>'Fațete dentare Full-Zirconiu.jpg'),</v>
      </c>
      <c r="L8" s="1"/>
      <c r="P8" s="6" t="s">
        <v>200</v>
      </c>
      <c r="R8" s="7" t="s">
        <v>20</v>
      </c>
      <c r="S8" s="4" t="s">
        <v>15</v>
      </c>
      <c r="T8" s="5" t="s">
        <v>153</v>
      </c>
      <c r="U8" s="1" t="s">
        <v>190</v>
      </c>
      <c r="V8" s="1" t="s">
        <v>136</v>
      </c>
      <c r="W8" s="1" t="s">
        <v>92</v>
      </c>
      <c r="Y8" s="7" t="s">
        <v>20</v>
      </c>
      <c r="AA8" s="5" t="s">
        <v>208</v>
      </c>
      <c r="AB8" s="5" t="b">
        <v>1</v>
      </c>
      <c r="AC8" s="8">
        <v>1250</v>
      </c>
    </row>
    <row r="9" spans="1:29" ht="15.5" x14ac:dyDescent="0.35">
      <c r="A9" s="6"/>
      <c r="B9" s="7" t="str">
        <f t="shared" si="0"/>
        <v xml:space="preserve">('Fațete dentare Non-Prep', </v>
      </c>
      <c r="C9" s="1" t="str">
        <f t="shared" si="1"/>
        <v xml:space="preserve">'Fațete aplicate fără șlefuirea dinților.', </v>
      </c>
      <c r="D9" s="8" t="str">
        <f t="shared" si="2"/>
        <v xml:space="preserve">2500, </v>
      </c>
      <c r="E9" s="1" t="str">
        <f t="shared" si="3"/>
        <v xml:space="preserve">'60 min', </v>
      </c>
      <c r="F9" s="1" t="str">
        <f t="shared" si="4"/>
        <v xml:space="preserve">'Medie', </v>
      </c>
      <c r="G9" s="5" t="str">
        <f t="shared" si="5"/>
        <v xml:space="preserve">'Fațete non-prep', </v>
      </c>
      <c r="H9" s="4" t="str">
        <f t="shared" si="6"/>
        <v xml:space="preserve">'Estetică dentară', </v>
      </c>
      <c r="I9" s="5" t="str">
        <f t="shared" si="7"/>
        <v xml:space="preserve">FALSE, </v>
      </c>
      <c r="J9" s="5" t="str">
        <f t="shared" si="8"/>
        <v xml:space="preserve">'{"Fațete_compozit", "fatete_ceramic", "ciment"}', </v>
      </c>
      <c r="K9" s="10" t="str">
        <f t="shared" si="9"/>
        <v>'Fațete dentare Non-Prep.jpg'),</v>
      </c>
      <c r="L9" s="1"/>
      <c r="P9" s="6" t="s">
        <v>199</v>
      </c>
      <c r="R9" s="7" t="s">
        <v>19</v>
      </c>
      <c r="S9" s="4" t="s">
        <v>15</v>
      </c>
      <c r="T9" s="5" t="s">
        <v>154</v>
      </c>
      <c r="U9" s="1" t="s">
        <v>189</v>
      </c>
      <c r="V9" s="1" t="s">
        <v>137</v>
      </c>
      <c r="W9" s="1" t="s">
        <v>93</v>
      </c>
      <c r="Y9" s="7" t="s">
        <v>19</v>
      </c>
      <c r="AA9" s="5" t="s">
        <v>209</v>
      </c>
      <c r="AB9" s="5" t="b">
        <v>0</v>
      </c>
      <c r="AC9" s="8">
        <v>2500</v>
      </c>
    </row>
    <row r="10" spans="1:29" ht="15.5" x14ac:dyDescent="0.35">
      <c r="A10" s="6"/>
      <c r="B10" s="7" t="str">
        <f t="shared" si="0"/>
        <v xml:space="preserve">('Implant dentar Megagen, INNO (Coreea)', </v>
      </c>
      <c r="C10" s="1" t="str">
        <f t="shared" si="1"/>
        <v xml:space="preserve">'Rădăcină dentară artificială, origine Coreea.', </v>
      </c>
      <c r="D10" s="8" t="str">
        <f t="shared" si="2"/>
        <v xml:space="preserve">2700, </v>
      </c>
      <c r="E10" s="1" t="str">
        <f t="shared" si="3"/>
        <v xml:space="preserve">'60–90 min', </v>
      </c>
      <c r="F10" s="1" t="str">
        <f t="shared" si="4"/>
        <v xml:space="preserve">'Ridicată', </v>
      </c>
      <c r="G10" s="5" t="str">
        <f t="shared" si="5"/>
        <v xml:space="preserve">'Implant Megagen', </v>
      </c>
      <c r="H10" s="4" t="str">
        <f t="shared" si="6"/>
        <v xml:space="preserve">'Implantologie', </v>
      </c>
      <c r="I10" s="5" t="str">
        <f t="shared" si="7"/>
        <v xml:space="preserve">TRUE, </v>
      </c>
      <c r="J10" s="5" t="str">
        <f t="shared" si="8"/>
        <v xml:space="preserve">'{"Implant", "șuruburi", "abutment", "kit_chirurgical"}', </v>
      </c>
      <c r="K10" s="10" t="str">
        <f t="shared" si="9"/>
        <v>'Implant dentar Megagen, INNO (Coreea).jpg'),</v>
      </c>
      <c r="L10" s="1"/>
      <c r="P10" s="6" t="s">
        <v>198</v>
      </c>
      <c r="R10" s="7" t="s">
        <v>21</v>
      </c>
      <c r="S10" s="6" t="s">
        <v>28</v>
      </c>
      <c r="T10" s="5" t="s">
        <v>155</v>
      </c>
      <c r="U10" s="1" t="s">
        <v>190</v>
      </c>
      <c r="V10" s="1" t="s">
        <v>136</v>
      </c>
      <c r="W10" s="1" t="s">
        <v>94</v>
      </c>
      <c r="Y10" s="7" t="s">
        <v>21</v>
      </c>
      <c r="AA10" s="5" t="s">
        <v>210</v>
      </c>
      <c r="AB10" s="5" t="b">
        <v>1</v>
      </c>
      <c r="AC10" s="8">
        <v>2700</v>
      </c>
    </row>
    <row r="11" spans="1:29" ht="15.5" x14ac:dyDescent="0.35">
      <c r="A11" s="6"/>
      <c r="B11" s="7" t="str">
        <f t="shared" si="0"/>
        <v xml:space="preserve">('Implant dentar ICX (Germania &amp; Elveția)', </v>
      </c>
      <c r="C11" s="1" t="str">
        <f t="shared" si="1"/>
        <v xml:space="preserve">'Implant premium german-elvețian.', </v>
      </c>
      <c r="D11" s="8" t="str">
        <f t="shared" si="2"/>
        <v xml:space="preserve">3200, </v>
      </c>
      <c r="E11" s="1" t="str">
        <f t="shared" si="3"/>
        <v xml:space="preserve">'60–90 min', </v>
      </c>
      <c r="F11" s="1" t="str">
        <f t="shared" si="4"/>
        <v xml:space="preserve">'Ridicată', </v>
      </c>
      <c r="G11" s="5" t="str">
        <f t="shared" si="5"/>
        <v xml:space="preserve">'Implant ICX', </v>
      </c>
      <c r="H11" s="4" t="str">
        <f t="shared" si="6"/>
        <v xml:space="preserve">'Implantologie', </v>
      </c>
      <c r="I11" s="5" t="str">
        <f t="shared" si="7"/>
        <v xml:space="preserve">TRUE, </v>
      </c>
      <c r="J11" s="5" t="str">
        <f t="shared" si="8"/>
        <v xml:space="preserve">'{"Implant", "șuruburi", "abutment", "kit_chirurgical"}', </v>
      </c>
      <c r="K11" s="10" t="str">
        <f t="shared" si="9"/>
        <v>'Implant dentar ICX (Germania &amp; Elveția).jpg'),</v>
      </c>
      <c r="L11" s="1"/>
      <c r="P11" s="6" t="s">
        <v>197</v>
      </c>
      <c r="R11" s="7" t="s">
        <v>22</v>
      </c>
      <c r="S11" s="6" t="s">
        <v>28</v>
      </c>
      <c r="T11" s="5" t="s">
        <v>156</v>
      </c>
      <c r="U11" s="1" t="s">
        <v>190</v>
      </c>
      <c r="V11" s="1" t="s">
        <v>136</v>
      </c>
      <c r="W11" s="1" t="s">
        <v>95</v>
      </c>
      <c r="Y11" s="7" t="s">
        <v>22</v>
      </c>
      <c r="AA11" s="5" t="s">
        <v>210</v>
      </c>
      <c r="AB11" s="5" t="b">
        <v>1</v>
      </c>
      <c r="AC11" s="8">
        <v>3200</v>
      </c>
    </row>
    <row r="12" spans="1:29" ht="15.5" x14ac:dyDescent="0.35">
      <c r="A12" s="6"/>
      <c r="B12" s="7" t="str">
        <f t="shared" si="0"/>
        <v xml:space="preserve">('Implant dentar Nobel (SUA)', </v>
      </c>
      <c r="C12" s="1" t="str">
        <f t="shared" si="1"/>
        <v xml:space="preserve">'Implant de top, fabricat în SUA.', </v>
      </c>
      <c r="D12" s="8" t="str">
        <f t="shared" si="2"/>
        <v xml:space="preserve">5000, </v>
      </c>
      <c r="E12" s="1" t="str">
        <f t="shared" si="3"/>
        <v xml:space="preserve">'60–90 min', </v>
      </c>
      <c r="F12" s="1" t="str">
        <f t="shared" si="4"/>
        <v xml:space="preserve">'Ridicată', </v>
      </c>
      <c r="G12" s="5" t="str">
        <f t="shared" si="5"/>
        <v xml:space="preserve">'Implant Nobel', </v>
      </c>
      <c r="H12" s="4" t="str">
        <f t="shared" si="6"/>
        <v xml:space="preserve">'Implantologie', </v>
      </c>
      <c r="I12" s="5" t="str">
        <f t="shared" si="7"/>
        <v xml:space="preserve">TRUE, </v>
      </c>
      <c r="J12" s="5" t="str">
        <f t="shared" si="8"/>
        <v xml:space="preserve">'{"Implant", "șuruburi", "abutment", "kit_chirurgical"}', </v>
      </c>
      <c r="K12" s="10" t="str">
        <f t="shared" si="9"/>
        <v>'Implant dentar Nobel (SUA).jpg'),</v>
      </c>
      <c r="L12" s="1"/>
      <c r="P12" s="6" t="s">
        <v>196</v>
      </c>
      <c r="R12" s="7" t="s">
        <v>23</v>
      </c>
      <c r="S12" s="6" t="s">
        <v>28</v>
      </c>
      <c r="T12" s="5" t="s">
        <v>157</v>
      </c>
      <c r="U12" s="1" t="s">
        <v>190</v>
      </c>
      <c r="V12" s="1" t="s">
        <v>136</v>
      </c>
      <c r="W12" s="1" t="s">
        <v>96</v>
      </c>
      <c r="Y12" s="7" t="s">
        <v>23</v>
      </c>
      <c r="AA12" s="5" t="s">
        <v>210</v>
      </c>
      <c r="AB12" s="5" t="b">
        <v>1</v>
      </c>
      <c r="AC12" s="8">
        <v>5000</v>
      </c>
    </row>
    <row r="13" spans="1:29" ht="15.5" x14ac:dyDescent="0.35">
      <c r="A13" s="6"/>
      <c r="B13" s="7" t="str">
        <f t="shared" si="0"/>
        <v xml:space="preserve">('Bont protetic drept', </v>
      </c>
      <c r="C13" s="1" t="str">
        <f t="shared" si="1"/>
        <v xml:space="preserve">'Piesă care susține coroana pe implant, fără unghi.', </v>
      </c>
      <c r="D13" s="8" t="str">
        <f t="shared" si="2"/>
        <v xml:space="preserve">250, </v>
      </c>
      <c r="E13" s="1" t="str">
        <f t="shared" si="3"/>
        <v xml:space="preserve">'30 min', </v>
      </c>
      <c r="F13" s="1" t="str">
        <f t="shared" si="4"/>
        <v xml:space="preserve">'Medie', </v>
      </c>
      <c r="G13" s="5" t="str">
        <f t="shared" si="5"/>
        <v xml:space="preserve">'Bont drept', </v>
      </c>
      <c r="H13" s="4" t="str">
        <f t="shared" si="6"/>
        <v xml:space="preserve">'Implantologie', </v>
      </c>
      <c r="I13" s="5" t="str">
        <f t="shared" si="7"/>
        <v xml:space="preserve">TRUE, </v>
      </c>
      <c r="J13" s="5" t="str">
        <f t="shared" si="8"/>
        <v xml:space="preserve">'{"Bont_metal", "ciment"}', </v>
      </c>
      <c r="K13" s="10" t="str">
        <f t="shared" si="9"/>
        <v>'Bont protetic drept.jpg'),</v>
      </c>
      <c r="L13" s="1"/>
      <c r="P13" s="6" t="s">
        <v>11</v>
      </c>
      <c r="R13" s="7" t="s">
        <v>24</v>
      </c>
      <c r="S13" s="6" t="s">
        <v>28</v>
      </c>
      <c r="T13" s="5" t="s">
        <v>158</v>
      </c>
      <c r="U13" s="1" t="s">
        <v>189</v>
      </c>
      <c r="V13" s="1" t="s">
        <v>138</v>
      </c>
      <c r="W13" s="1" t="s">
        <v>97</v>
      </c>
      <c r="Y13" s="7" t="s">
        <v>24</v>
      </c>
      <c r="AA13" s="5" t="s">
        <v>211</v>
      </c>
      <c r="AB13" s="5" t="b">
        <v>1</v>
      </c>
      <c r="AC13" s="8">
        <v>250</v>
      </c>
    </row>
    <row r="14" spans="1:29" ht="15.5" x14ac:dyDescent="0.35">
      <c r="A14" s="6"/>
      <c r="B14" s="7" t="str">
        <f t="shared" si="0"/>
        <v xml:space="preserve">('Bont protetic angulat', </v>
      </c>
      <c r="C14" s="1" t="str">
        <f t="shared" si="1"/>
        <v xml:space="preserve">'Piesă pe implant cu înclinație pentru aliniere.', </v>
      </c>
      <c r="D14" s="8" t="str">
        <f t="shared" si="2"/>
        <v xml:space="preserve">500, </v>
      </c>
      <c r="E14" s="1" t="str">
        <f t="shared" si="3"/>
        <v xml:space="preserve">'30 min', </v>
      </c>
      <c r="F14" s="1" t="str">
        <f t="shared" si="4"/>
        <v xml:space="preserve">'Medie', </v>
      </c>
      <c r="G14" s="5" t="str">
        <f t="shared" si="5"/>
        <v xml:space="preserve">'Bont angulat', </v>
      </c>
      <c r="H14" s="4" t="str">
        <f t="shared" si="6"/>
        <v xml:space="preserve">'Implantologie', </v>
      </c>
      <c r="I14" s="5" t="str">
        <f t="shared" si="7"/>
        <v xml:space="preserve">TRUE, </v>
      </c>
      <c r="J14" s="5" t="str">
        <f t="shared" si="8"/>
        <v xml:space="preserve">'{"Bont_metal", "ciment"}', </v>
      </c>
      <c r="K14" s="10" t="str">
        <f t="shared" si="9"/>
        <v>'Bont protetic angulat.jpg'),</v>
      </c>
      <c r="L14" s="1"/>
      <c r="P14" s="6" t="s">
        <v>64</v>
      </c>
      <c r="R14" s="7" t="s">
        <v>25</v>
      </c>
      <c r="S14" s="6" t="s">
        <v>28</v>
      </c>
      <c r="T14" s="5" t="s">
        <v>159</v>
      </c>
      <c r="U14" s="1" t="s">
        <v>189</v>
      </c>
      <c r="V14" s="1" t="s">
        <v>138</v>
      </c>
      <c r="W14" s="1" t="s">
        <v>98</v>
      </c>
      <c r="Y14" s="7" t="s">
        <v>25</v>
      </c>
      <c r="AA14" s="5" t="s">
        <v>211</v>
      </c>
      <c r="AB14" s="5" t="b">
        <v>1</v>
      </c>
      <c r="AC14" s="8">
        <v>500</v>
      </c>
    </row>
    <row r="15" spans="1:29" ht="15.5" x14ac:dyDescent="0.35">
      <c r="A15" s="6"/>
      <c r="B15" s="7" t="str">
        <f t="shared" si="0"/>
        <v xml:space="preserve">('Bont individualizat', </v>
      </c>
      <c r="C15" s="1" t="str">
        <f t="shared" si="1"/>
        <v xml:space="preserve">'Piesă personalizată pentru restaurări precise.', </v>
      </c>
      <c r="D15" s="8" t="str">
        <f t="shared" si="2"/>
        <v xml:space="preserve">750, </v>
      </c>
      <c r="E15" s="1" t="str">
        <f t="shared" si="3"/>
        <v xml:space="preserve">'30–60 min', </v>
      </c>
      <c r="F15" s="1" t="str">
        <f t="shared" si="4"/>
        <v xml:space="preserve">'Ridicată', </v>
      </c>
      <c r="G15" s="5" t="str">
        <f t="shared" si="5"/>
        <v xml:space="preserve">'Bont personalizat', </v>
      </c>
      <c r="H15" s="4" t="str">
        <f t="shared" si="6"/>
        <v xml:space="preserve">'Implantologie', </v>
      </c>
      <c r="I15" s="5" t="str">
        <f t="shared" si="7"/>
        <v xml:space="preserve">TRUE, </v>
      </c>
      <c r="J15" s="5" t="str">
        <f t="shared" si="8"/>
        <v xml:space="preserve">'{"Bont_personalizat", "ciment"}', </v>
      </c>
      <c r="K15" s="10" t="str">
        <f t="shared" si="9"/>
        <v>'Bont individualizat.jpg'),</v>
      </c>
      <c r="L15" s="1"/>
      <c r="P15" s="6" t="s">
        <v>57</v>
      </c>
      <c r="R15" s="7" t="s">
        <v>26</v>
      </c>
      <c r="S15" s="6" t="s">
        <v>28</v>
      </c>
      <c r="T15" s="5" t="s">
        <v>160</v>
      </c>
      <c r="U15" s="1" t="s">
        <v>190</v>
      </c>
      <c r="V15" s="1" t="s">
        <v>139</v>
      </c>
      <c r="W15" s="1" t="s">
        <v>99</v>
      </c>
      <c r="Y15" s="7" t="s">
        <v>26</v>
      </c>
      <c r="AA15" s="5" t="s">
        <v>212</v>
      </c>
      <c r="AB15" s="5" t="b">
        <v>1</v>
      </c>
      <c r="AC15" s="8">
        <v>750</v>
      </c>
    </row>
    <row r="16" spans="1:29" ht="15.5" x14ac:dyDescent="0.35">
      <c r="A16" s="6"/>
      <c r="B16" s="7" t="str">
        <f t="shared" si="0"/>
        <v xml:space="preserve">('Bont protetic din zirconiu', </v>
      </c>
      <c r="C16" s="1" t="str">
        <f t="shared" si="1"/>
        <v xml:space="preserve">'Bont estetic, alb, din zirconiu.', </v>
      </c>
      <c r="D16" s="8" t="str">
        <f t="shared" si="2"/>
        <v xml:space="preserve">1000, </v>
      </c>
      <c r="E16" s="1" t="str">
        <f t="shared" si="3"/>
        <v xml:space="preserve">'30–60 min', </v>
      </c>
      <c r="F16" s="1" t="str">
        <f t="shared" si="4"/>
        <v xml:space="preserve">'Ridicată', </v>
      </c>
      <c r="G16" s="5" t="str">
        <f t="shared" si="5"/>
        <v xml:space="preserve">'Bont zirconiu', </v>
      </c>
      <c r="H16" s="4" t="str">
        <f t="shared" si="6"/>
        <v xml:space="preserve">'Implantologie', </v>
      </c>
      <c r="I16" s="5" t="str">
        <f t="shared" si="7"/>
        <v xml:space="preserve">TRUE, </v>
      </c>
      <c r="J16" s="5" t="str">
        <f t="shared" si="8"/>
        <v xml:space="preserve">'{"Bont_zirconiu", "ciment"}', </v>
      </c>
      <c r="K16" s="10" t="str">
        <f t="shared" si="9"/>
        <v>'Bont protetic din zirconiu.jpg'),</v>
      </c>
      <c r="L16" s="1"/>
      <c r="P16" s="6" t="s">
        <v>195</v>
      </c>
      <c r="R16" s="7" t="s">
        <v>27</v>
      </c>
      <c r="S16" s="6" t="s">
        <v>28</v>
      </c>
      <c r="T16" s="5" t="s">
        <v>161</v>
      </c>
      <c r="U16" s="1" t="s">
        <v>190</v>
      </c>
      <c r="V16" s="1" t="s">
        <v>139</v>
      </c>
      <c r="W16" s="1" t="s">
        <v>100</v>
      </c>
      <c r="Y16" s="7" t="s">
        <v>27</v>
      </c>
      <c r="AA16" s="5" t="s">
        <v>213</v>
      </c>
      <c r="AB16" s="5" t="b">
        <v>1</v>
      </c>
      <c r="AC16" s="8">
        <v>1000</v>
      </c>
    </row>
    <row r="17" spans="1:29" ht="15.5" x14ac:dyDescent="0.35">
      <c r="A17" s="6"/>
      <c r="B17" s="7" t="str">
        <f t="shared" si="0"/>
        <v xml:space="preserve">('Aparat dentar fix cu bracketi metalici / arcadă', </v>
      </c>
      <c r="C17" s="1" t="str">
        <f t="shared" si="1"/>
        <v xml:space="preserve">'Corecție ortodontică clasică, cu metal.', </v>
      </c>
      <c r="D17" s="8" t="str">
        <f t="shared" si="2"/>
        <v xml:space="preserve">4800, </v>
      </c>
      <c r="E17" s="1" t="str">
        <f t="shared" si="3"/>
        <v xml:space="preserve">'60–90 min', </v>
      </c>
      <c r="F17" s="1" t="str">
        <f t="shared" si="4"/>
        <v xml:space="preserve">'Medie', </v>
      </c>
      <c r="G17" s="5" t="str">
        <f t="shared" si="5"/>
        <v xml:space="preserve">'Aparat fix', </v>
      </c>
      <c r="H17" s="4" t="str">
        <f t="shared" si="6"/>
        <v xml:space="preserve">'Ortodonție', </v>
      </c>
      <c r="I17" s="5" t="str">
        <f t="shared" si="7"/>
        <v xml:space="preserve">TRUE, </v>
      </c>
      <c r="J17" s="5" t="str">
        <f t="shared" si="8"/>
        <v xml:space="preserve">'{"Bracketi_metalici", "arcuri_linguale"}', </v>
      </c>
      <c r="K17" s="10" t="str">
        <f t="shared" si="9"/>
        <v>'Aparat dentar fix cu bracketi metalici / arcadă.jpg'),</v>
      </c>
      <c r="L17" s="1"/>
      <c r="P17" s="6" t="s">
        <v>30</v>
      </c>
      <c r="R17" s="7" t="s">
        <v>29</v>
      </c>
      <c r="S17" s="6" t="s">
        <v>41</v>
      </c>
      <c r="T17" s="5" t="s">
        <v>183</v>
      </c>
      <c r="U17" s="1" t="s">
        <v>189</v>
      </c>
      <c r="V17" s="1" t="s">
        <v>136</v>
      </c>
      <c r="W17" s="1" t="s">
        <v>101</v>
      </c>
      <c r="Y17" s="7" t="s">
        <v>29</v>
      </c>
      <c r="AA17" s="5" t="s">
        <v>227</v>
      </c>
      <c r="AB17" s="5" t="b">
        <v>1</v>
      </c>
      <c r="AC17" s="8">
        <v>4800</v>
      </c>
    </row>
    <row r="18" spans="1:29" ht="15.5" x14ac:dyDescent="0.35">
      <c r="A18" s="6"/>
      <c r="B18" s="7" t="str">
        <f t="shared" si="0"/>
        <v xml:space="preserve">('Aparat dentar fix cu bracketi fizionomici / arcadă', </v>
      </c>
      <c r="C18" s="1" t="str">
        <f t="shared" si="1"/>
        <v xml:space="preserve">'Bracketi colorați în nuanța dinților.', </v>
      </c>
      <c r="D18" s="8" t="str">
        <f t="shared" si="2"/>
        <v xml:space="preserve">4900, </v>
      </c>
      <c r="E18" s="1" t="str">
        <f t="shared" si="3"/>
        <v xml:space="preserve">'60–90 min', </v>
      </c>
      <c r="F18" s="1" t="str">
        <f t="shared" si="4"/>
        <v xml:space="preserve">'Medie', </v>
      </c>
      <c r="G18" s="5" t="str">
        <f t="shared" si="5"/>
        <v xml:space="preserve">'Aparat fix', </v>
      </c>
      <c r="H18" s="4" t="str">
        <f t="shared" si="6"/>
        <v xml:space="preserve">'Ortodonție', </v>
      </c>
      <c r="I18" s="5" t="str">
        <f t="shared" si="7"/>
        <v xml:space="preserve">TRUE, </v>
      </c>
      <c r="J18" s="5" t="str">
        <f t="shared" si="8"/>
        <v xml:space="preserve">'{"Bracketi_fizionomici", "arcuri_linguale"}', </v>
      </c>
      <c r="K18" s="10" t="str">
        <f t="shared" si="9"/>
        <v>'Aparat dentar fix cu bracketi fizionomici / arcadă.jpg'),</v>
      </c>
      <c r="L18" s="1"/>
      <c r="P18" s="6" t="s">
        <v>32</v>
      </c>
      <c r="R18" s="7" t="s">
        <v>31</v>
      </c>
      <c r="S18" s="6" t="s">
        <v>41</v>
      </c>
      <c r="T18" s="5" t="s">
        <v>183</v>
      </c>
      <c r="U18" s="1" t="s">
        <v>189</v>
      </c>
      <c r="V18" s="1" t="s">
        <v>136</v>
      </c>
      <c r="W18" s="1" t="s">
        <v>102</v>
      </c>
      <c r="Y18" s="7" t="s">
        <v>31</v>
      </c>
      <c r="AA18" s="5" t="s">
        <v>226</v>
      </c>
      <c r="AB18" s="5" t="b">
        <v>1</v>
      </c>
      <c r="AC18" s="8">
        <v>4900</v>
      </c>
    </row>
    <row r="19" spans="1:29" ht="15.5" x14ac:dyDescent="0.35">
      <c r="A19" s="6"/>
      <c r="B19" s="7" t="str">
        <f t="shared" si="0"/>
        <v xml:space="preserve">('Aparat dentar fix cu bracketi safir / arcadă', </v>
      </c>
      <c r="C19" s="1" t="str">
        <f t="shared" si="1"/>
        <v xml:space="preserve">'Bracketi transparenți, din safir.', </v>
      </c>
      <c r="D19" s="8" t="str">
        <f t="shared" si="2"/>
        <v xml:space="preserve">6300, </v>
      </c>
      <c r="E19" s="1" t="str">
        <f t="shared" si="3"/>
        <v xml:space="preserve">'60–90 min', </v>
      </c>
      <c r="F19" s="1" t="str">
        <f t="shared" si="4"/>
        <v xml:space="preserve">'Medie', </v>
      </c>
      <c r="G19" s="5" t="str">
        <f t="shared" si="5"/>
        <v xml:space="preserve">'Aparat fix', </v>
      </c>
      <c r="H19" s="4" t="str">
        <f t="shared" si="6"/>
        <v xml:space="preserve">'Ortodonție', </v>
      </c>
      <c r="I19" s="5" t="str">
        <f t="shared" si="7"/>
        <v xml:space="preserve">TRUE, </v>
      </c>
      <c r="J19" s="5" t="str">
        <f t="shared" si="8"/>
        <v xml:space="preserve">'{"Bracketi_safir", "arcuri_linguale"}', </v>
      </c>
      <c r="K19" s="10" t="str">
        <f t="shared" si="9"/>
        <v>'Aparat dentar fix cu bracketi safir / arcadă.jpg'),</v>
      </c>
      <c r="L19" s="1"/>
      <c r="P19" s="6" t="s">
        <v>34</v>
      </c>
      <c r="R19" s="7" t="s">
        <v>33</v>
      </c>
      <c r="S19" s="6" t="s">
        <v>41</v>
      </c>
      <c r="T19" s="5" t="s">
        <v>183</v>
      </c>
      <c r="U19" s="1" t="s">
        <v>189</v>
      </c>
      <c r="V19" s="1" t="s">
        <v>136</v>
      </c>
      <c r="W19" s="1" t="s">
        <v>103</v>
      </c>
      <c r="Y19" s="7" t="s">
        <v>33</v>
      </c>
      <c r="AA19" s="5" t="s">
        <v>225</v>
      </c>
      <c r="AB19" s="5" t="b">
        <v>1</v>
      </c>
      <c r="AC19" s="8">
        <v>6300</v>
      </c>
    </row>
    <row r="20" spans="1:29" ht="15.5" x14ac:dyDescent="0.35">
      <c r="A20" s="6"/>
      <c r="B20" s="7" t="str">
        <f t="shared" si="0"/>
        <v xml:space="preserve">('Aparat dentar fix sistem DAMON / arcadă: ', </v>
      </c>
      <c r="C20" s="1" t="str">
        <f t="shared" si="1"/>
        <v xml:space="preserve">'Sistem cu frecare redusă, confort crescut.', </v>
      </c>
      <c r="D20" s="8" t="str">
        <f t="shared" si="2"/>
        <v xml:space="preserve">6300, </v>
      </c>
      <c r="E20" s="1" t="str">
        <f t="shared" si="3"/>
        <v xml:space="preserve">'60–90 min', </v>
      </c>
      <c r="F20" s="1" t="str">
        <f t="shared" si="4"/>
        <v xml:space="preserve">'Medie', </v>
      </c>
      <c r="G20" s="5" t="str">
        <f t="shared" si="5"/>
        <v xml:space="preserve">'Aparat fix', </v>
      </c>
      <c r="H20" s="4" t="str">
        <f t="shared" si="6"/>
        <v xml:space="preserve">'Ortodonție', </v>
      </c>
      <c r="I20" s="5" t="str">
        <f t="shared" si="7"/>
        <v xml:space="preserve">TRUE, </v>
      </c>
      <c r="J20" s="5" t="str">
        <f t="shared" si="8"/>
        <v xml:space="preserve">'{"Bracketi_DAMON", "arcuri_linguale"}', </v>
      </c>
      <c r="K20" s="10" t="str">
        <f t="shared" si="9"/>
        <v>'Aparat dentar fix sistem DAMON / arcadă: .jpg'),</v>
      </c>
      <c r="L20" s="1"/>
      <c r="P20" s="6" t="s">
        <v>34</v>
      </c>
      <c r="R20" s="7" t="s">
        <v>78</v>
      </c>
      <c r="S20" s="6" t="s">
        <v>41</v>
      </c>
      <c r="T20" s="5" t="s">
        <v>183</v>
      </c>
      <c r="U20" s="1" t="s">
        <v>189</v>
      </c>
      <c r="V20" s="1" t="s">
        <v>136</v>
      </c>
      <c r="W20" s="1" t="s">
        <v>104</v>
      </c>
      <c r="Y20" s="7" t="s">
        <v>78</v>
      </c>
      <c r="AA20" s="5" t="s">
        <v>228</v>
      </c>
      <c r="AB20" s="5" t="b">
        <v>1</v>
      </c>
      <c r="AC20" s="8">
        <v>6300</v>
      </c>
    </row>
    <row r="21" spans="1:29" ht="15.5" x14ac:dyDescent="0.35">
      <c r="A21" s="6"/>
      <c r="B21" s="7" t="str">
        <f t="shared" si="0"/>
        <v xml:space="preserve">('Aparat dentar fix lingual individualizat WIN / arcadă: ', </v>
      </c>
      <c r="C21" s="1" t="str">
        <f t="shared" si="1"/>
        <v xml:space="preserve">'Aparat invizibil, montat pe interior.', </v>
      </c>
      <c r="D21" s="8" t="str">
        <f t="shared" si="2"/>
        <v xml:space="preserve">9000, </v>
      </c>
      <c r="E21" s="1" t="str">
        <f t="shared" si="3"/>
        <v xml:space="preserve">'120–180 min', </v>
      </c>
      <c r="F21" s="1" t="str">
        <f t="shared" si="4"/>
        <v xml:space="preserve">'Ridicată', </v>
      </c>
      <c r="G21" s="5" t="str">
        <f t="shared" si="5"/>
        <v xml:space="preserve">'Aparat lingual', </v>
      </c>
      <c r="H21" s="4" t="str">
        <f t="shared" si="6"/>
        <v xml:space="preserve">'Ortodonție', </v>
      </c>
      <c r="I21" s="5" t="str">
        <f t="shared" si="7"/>
        <v xml:space="preserve">TRUE, </v>
      </c>
      <c r="J21" s="5" t="str">
        <f t="shared" si="8"/>
        <v xml:space="preserve">'{"Bracketi_WIN", "arcuri_linguale"}', </v>
      </c>
      <c r="K21" s="10" t="str">
        <f t="shared" si="9"/>
        <v>'Aparat dentar fix lingual individualizat WIN / arcadă: .jpg'),</v>
      </c>
      <c r="L21" s="1"/>
      <c r="P21" s="6" t="s">
        <v>35</v>
      </c>
      <c r="R21" s="7" t="s">
        <v>79</v>
      </c>
      <c r="S21" s="6" t="s">
        <v>41</v>
      </c>
      <c r="T21" s="5" t="s">
        <v>184</v>
      </c>
      <c r="U21" s="1" t="s">
        <v>190</v>
      </c>
      <c r="V21" s="1" t="s">
        <v>140</v>
      </c>
      <c r="W21" s="1" t="s">
        <v>105</v>
      </c>
      <c r="Y21" s="7" t="s">
        <v>79</v>
      </c>
      <c r="AA21" s="5" t="s">
        <v>229</v>
      </c>
      <c r="AB21" s="5" t="b">
        <v>1</v>
      </c>
      <c r="AC21" s="8">
        <v>9000</v>
      </c>
    </row>
    <row r="22" spans="1:29" ht="15.5" x14ac:dyDescent="0.35">
      <c r="A22" s="6"/>
      <c r="B22" s="7" t="str">
        <f t="shared" si="0"/>
        <v xml:space="preserve">('Aparat dentar fix lingual INCOGNITO / arcadă: ', </v>
      </c>
      <c r="C22" s="1" t="str">
        <f t="shared" si="1"/>
        <v xml:space="preserve">'Ortodonție invizibilă de lux, internă.', </v>
      </c>
      <c r="D22" s="8" t="str">
        <f t="shared" si="2"/>
        <v xml:space="preserve">12000, </v>
      </c>
      <c r="E22" s="1" t="str">
        <f t="shared" si="3"/>
        <v xml:space="preserve">'120–180 min', </v>
      </c>
      <c r="F22" s="1" t="str">
        <f t="shared" si="4"/>
        <v xml:space="preserve">'Ridicată', </v>
      </c>
      <c r="G22" s="5" t="str">
        <f t="shared" si="5"/>
        <v xml:space="preserve">'Aparat lingual', </v>
      </c>
      <c r="H22" s="4" t="str">
        <f t="shared" si="6"/>
        <v xml:space="preserve">'Ortodonție', </v>
      </c>
      <c r="I22" s="5" t="str">
        <f t="shared" si="7"/>
        <v xml:space="preserve">TRUE, </v>
      </c>
      <c r="J22" s="5" t="str">
        <f t="shared" si="8"/>
        <v xml:space="preserve">'{"Bracketi_INCOGNITO", "arcuri_linguale"}', </v>
      </c>
      <c r="K22" s="10" t="str">
        <f t="shared" si="9"/>
        <v>'Aparat dentar fix lingual INCOGNITO / arcadă: .jpg'),</v>
      </c>
      <c r="L22" s="1"/>
      <c r="P22" s="6" t="s">
        <v>36</v>
      </c>
      <c r="R22" s="7" t="s">
        <v>80</v>
      </c>
      <c r="S22" s="6" t="s">
        <v>41</v>
      </c>
      <c r="T22" s="5" t="s">
        <v>184</v>
      </c>
      <c r="U22" s="1" t="s">
        <v>190</v>
      </c>
      <c r="V22" s="1" t="s">
        <v>140</v>
      </c>
      <c r="W22" s="1" t="s">
        <v>106</v>
      </c>
      <c r="Y22" s="7" t="s">
        <v>80</v>
      </c>
      <c r="AA22" s="5" t="s">
        <v>230</v>
      </c>
      <c r="AB22" s="5" t="b">
        <v>1</v>
      </c>
      <c r="AC22" s="8">
        <v>12000</v>
      </c>
    </row>
    <row r="23" spans="1:29" ht="15.5" x14ac:dyDescent="0.35">
      <c r="A23" s="6"/>
      <c r="B23" s="7" t="str">
        <f t="shared" si="0"/>
        <v xml:space="preserve">('Aparat dentar mobil / arcadă', </v>
      </c>
      <c r="C23" s="1" t="str">
        <f t="shared" si="1"/>
        <v xml:space="preserve">'Dispozitiv detașabil pentru copii sau corecții minore.', </v>
      </c>
      <c r="D23" s="8" t="str">
        <f t="shared" si="2"/>
        <v xml:space="preserve">1850, </v>
      </c>
      <c r="E23" s="1" t="str">
        <f t="shared" si="3"/>
        <v xml:space="preserve">'30–60 min', </v>
      </c>
      <c r="F23" s="1" t="str">
        <f t="shared" si="4"/>
        <v xml:space="preserve">'Redusă', </v>
      </c>
      <c r="G23" s="5" t="str">
        <f t="shared" si="5"/>
        <v xml:space="preserve">'Aparat mobil', </v>
      </c>
      <c r="H23" s="4" t="str">
        <f t="shared" si="6"/>
        <v xml:space="preserve">'Ortodonție', </v>
      </c>
      <c r="I23" s="5" t="str">
        <f t="shared" si="7"/>
        <v xml:space="preserve">FALSE, </v>
      </c>
      <c r="J23" s="5" t="str">
        <f t="shared" si="8"/>
        <v xml:space="preserve">'{"Aliniatori", "arcuri", "suporturi"}', </v>
      </c>
      <c r="K23" s="10" t="str">
        <f t="shared" si="9"/>
        <v>'Aparat dentar mobil / arcadă.jpg'),</v>
      </c>
      <c r="L23" s="1"/>
      <c r="P23" s="6" t="s">
        <v>38</v>
      </c>
      <c r="R23" s="7" t="s">
        <v>37</v>
      </c>
      <c r="S23" s="6" t="s">
        <v>41</v>
      </c>
      <c r="T23" s="5" t="s">
        <v>185</v>
      </c>
      <c r="U23" s="1" t="s">
        <v>188</v>
      </c>
      <c r="V23" s="1" t="s">
        <v>139</v>
      </c>
      <c r="W23" s="1" t="s">
        <v>107</v>
      </c>
      <c r="Y23" s="7" t="s">
        <v>37</v>
      </c>
      <c r="AA23" s="5" t="s">
        <v>202</v>
      </c>
      <c r="AB23" s="5" t="b">
        <v>0</v>
      </c>
      <c r="AC23" s="8">
        <v>1850</v>
      </c>
    </row>
    <row r="24" spans="1:29" ht="15.5" x14ac:dyDescent="0.35">
      <c r="A24" s="6"/>
      <c r="B24" s="7" t="str">
        <f t="shared" si="0"/>
        <v xml:space="preserve">('Tratament cu alignere aparat INVISALIGN LITE', </v>
      </c>
      <c r="C24" s="1" t="str">
        <f t="shared" si="1"/>
        <v xml:space="preserve">'Gutieră transparentă pentru corecții minore.', </v>
      </c>
      <c r="D24" s="8" t="str">
        <f t="shared" si="2"/>
        <v xml:space="preserve">10000, </v>
      </c>
      <c r="E24" s="1" t="str">
        <f t="shared" si="3"/>
        <v xml:space="preserve">'30 min', </v>
      </c>
      <c r="F24" s="1" t="str">
        <f t="shared" si="4"/>
        <v xml:space="preserve">'Medie', </v>
      </c>
      <c r="G24" s="5" t="str">
        <f t="shared" si="5"/>
        <v xml:space="preserve">'Invisalign Lite', </v>
      </c>
      <c r="H24" s="4" t="str">
        <f t="shared" si="6"/>
        <v xml:space="preserve">'Ortodonție', </v>
      </c>
      <c r="I24" s="5" t="str">
        <f t="shared" si="7"/>
        <v xml:space="preserve">FALSE, </v>
      </c>
      <c r="J24" s="5" t="str">
        <f t="shared" si="8"/>
        <v xml:space="preserve">'{"Aliniatori_Invisalign", "materiale_imobilizare"}', </v>
      </c>
      <c r="K24" s="10" t="str">
        <f t="shared" si="9"/>
        <v>'Tratament cu alignere aparat INVISALIGN LITE.jpg'),</v>
      </c>
      <c r="L24" s="1"/>
      <c r="P24" s="6" t="s">
        <v>193</v>
      </c>
      <c r="R24" s="7" t="s">
        <v>40</v>
      </c>
      <c r="S24" s="6" t="s">
        <v>41</v>
      </c>
      <c r="T24" s="5" t="s">
        <v>162</v>
      </c>
      <c r="U24" s="1" t="s">
        <v>189</v>
      </c>
      <c r="V24" s="1" t="s">
        <v>138</v>
      </c>
      <c r="W24" s="1" t="s">
        <v>108</v>
      </c>
      <c r="Y24" s="7" t="s">
        <v>40</v>
      </c>
      <c r="AA24" s="5" t="s">
        <v>231</v>
      </c>
      <c r="AB24" s="5" t="b">
        <v>0</v>
      </c>
      <c r="AC24" s="8">
        <v>10000</v>
      </c>
    </row>
    <row r="25" spans="1:29" ht="15.5" x14ac:dyDescent="0.35">
      <c r="A25" s="6"/>
      <c r="B25" s="7" t="str">
        <f t="shared" si="0"/>
        <v xml:space="preserve">('Tratament cu alignere aparat dentar invizibil INVISALIGN Teen / ambele arcade', </v>
      </c>
      <c r="C25" s="1" t="str">
        <f t="shared" si="1"/>
        <v xml:space="preserve">'Aliniatori transparenți pentru adolescenți.', </v>
      </c>
      <c r="D25" s="8" t="str">
        <f t="shared" si="2"/>
        <v xml:space="preserve">15000, </v>
      </c>
      <c r="E25" s="1" t="str">
        <f t="shared" si="3"/>
        <v xml:space="preserve">'30 min', </v>
      </c>
      <c r="F25" s="1" t="str">
        <f t="shared" si="4"/>
        <v xml:space="preserve">'Medie', </v>
      </c>
      <c r="G25" s="5" t="str">
        <f t="shared" si="5"/>
        <v xml:space="preserve">'Invisalign Teen', </v>
      </c>
      <c r="H25" s="4" t="str">
        <f t="shared" si="6"/>
        <v xml:space="preserve">'Ortodonție', </v>
      </c>
      <c r="I25" s="5" t="str">
        <f t="shared" si="7"/>
        <v xml:space="preserve">FALSE, </v>
      </c>
      <c r="J25" s="5" t="str">
        <f t="shared" si="8"/>
        <v xml:space="preserve">'{"Aliniatori_Invisalign_Teen", "materiale imobilizare"}', </v>
      </c>
      <c r="K25" s="10" t="str">
        <f t="shared" si="9"/>
        <v>'Tratament cu alignere aparat dentar invizibil INVISALIGN Teen / ambele arcade.jpg'),</v>
      </c>
      <c r="L25" s="1"/>
      <c r="P25" s="6" t="s">
        <v>194</v>
      </c>
      <c r="R25" s="7" t="s">
        <v>39</v>
      </c>
      <c r="S25" s="6" t="s">
        <v>41</v>
      </c>
      <c r="T25" s="5" t="s">
        <v>163</v>
      </c>
      <c r="U25" s="1" t="s">
        <v>189</v>
      </c>
      <c r="V25" s="1" t="s">
        <v>138</v>
      </c>
      <c r="W25" s="1" t="s">
        <v>109</v>
      </c>
      <c r="Y25" s="7" t="s">
        <v>39</v>
      </c>
      <c r="AA25" s="5" t="s">
        <v>232</v>
      </c>
      <c r="AB25" s="5" t="b">
        <v>0</v>
      </c>
      <c r="AC25" s="8">
        <v>15000</v>
      </c>
    </row>
    <row r="26" spans="1:29" ht="15.5" x14ac:dyDescent="0.35">
      <c r="A26" s="6"/>
      <c r="B26" s="7" t="str">
        <f t="shared" si="0"/>
        <v xml:space="preserve">('Tratament endodontic dinte monoradicular​', </v>
      </c>
      <c r="C26" s="1" t="str">
        <f t="shared" si="1"/>
        <v xml:space="preserve">'Curățare și sigilare canal la dinte cu o rădăcină.', </v>
      </c>
      <c r="D26" s="8" t="str">
        <f t="shared" si="2"/>
        <v xml:space="preserve">200, </v>
      </c>
      <c r="E26" s="1" t="str">
        <f t="shared" si="3"/>
        <v xml:space="preserve">'60–75 min', </v>
      </c>
      <c r="F26" s="1" t="str">
        <f t="shared" si="4"/>
        <v xml:space="preserve">'Medie', </v>
      </c>
      <c r="G26" s="5" t="str">
        <f t="shared" si="5"/>
        <v xml:space="preserve">'Endo monoradicular', </v>
      </c>
      <c r="H26" s="4" t="str">
        <f t="shared" si="6"/>
        <v xml:space="preserve">'Endodonție', </v>
      </c>
      <c r="I26" s="5" t="str">
        <f t="shared" si="7"/>
        <v xml:space="preserve">TRUE, </v>
      </c>
      <c r="J26" s="5" t="str">
        <f t="shared" si="8"/>
        <v xml:space="preserve">'{"conuri", "instrumente_endodontice", "pastă"}', </v>
      </c>
      <c r="K26" s="10" t="str">
        <f t="shared" si="9"/>
        <v>'Tratament endodontic dinte monoradicular​.jpg'),</v>
      </c>
      <c r="L26" s="1"/>
      <c r="P26" s="6" t="s">
        <v>42</v>
      </c>
      <c r="R26" s="7" t="s">
        <v>81</v>
      </c>
      <c r="S26" s="6" t="s">
        <v>48</v>
      </c>
      <c r="T26" s="5" t="s">
        <v>164</v>
      </c>
      <c r="U26" s="1" t="s">
        <v>189</v>
      </c>
      <c r="V26" s="1" t="s">
        <v>141</v>
      </c>
      <c r="W26" s="1" t="s">
        <v>110</v>
      </c>
      <c r="Y26" s="7" t="s">
        <v>81</v>
      </c>
      <c r="AA26" s="5" t="s">
        <v>233</v>
      </c>
      <c r="AB26" s="5" t="b">
        <v>1</v>
      </c>
      <c r="AC26" s="8">
        <v>200</v>
      </c>
    </row>
    <row r="27" spans="1:29" ht="15.5" x14ac:dyDescent="0.35">
      <c r="A27" s="6"/>
      <c r="B27" s="7" t="str">
        <f t="shared" si="0"/>
        <v xml:space="preserve">('Tratament endodontic premolar', </v>
      </c>
      <c r="C27" s="1" t="str">
        <f t="shared" si="1"/>
        <v xml:space="preserve">'Tratament de canal pentru premolar.', </v>
      </c>
      <c r="D27" s="8" t="str">
        <f t="shared" si="2"/>
        <v xml:space="preserve">250, </v>
      </c>
      <c r="E27" s="1" t="str">
        <f t="shared" si="3"/>
        <v xml:space="preserve">'75–90 min', </v>
      </c>
      <c r="F27" s="1" t="str">
        <f t="shared" si="4"/>
        <v xml:space="preserve">'Medie', </v>
      </c>
      <c r="G27" s="5" t="str">
        <f t="shared" si="5"/>
        <v xml:space="preserve">'Endo premolar', </v>
      </c>
      <c r="H27" s="4" t="str">
        <f t="shared" si="6"/>
        <v xml:space="preserve">'Endodonție', </v>
      </c>
      <c r="I27" s="5" t="str">
        <f t="shared" si="7"/>
        <v xml:space="preserve">TRUE, </v>
      </c>
      <c r="J27" s="5" t="str">
        <f t="shared" si="8"/>
        <v xml:space="preserve">'{"conuri", "instrumente_endodontice", "pastă"}', </v>
      </c>
      <c r="K27" s="10" t="str">
        <f t="shared" si="9"/>
        <v>'Tratament endodontic premolar.jpg'),</v>
      </c>
      <c r="L27" s="1"/>
      <c r="P27" s="6" t="s">
        <v>44</v>
      </c>
      <c r="R27" s="7" t="s">
        <v>43</v>
      </c>
      <c r="S27" s="6" t="s">
        <v>48</v>
      </c>
      <c r="T27" s="5" t="s">
        <v>165</v>
      </c>
      <c r="U27" s="1" t="s">
        <v>189</v>
      </c>
      <c r="V27" s="1" t="s">
        <v>142</v>
      </c>
      <c r="W27" s="1" t="s">
        <v>111</v>
      </c>
      <c r="Y27" s="7" t="s">
        <v>43</v>
      </c>
      <c r="AA27" s="5" t="s">
        <v>233</v>
      </c>
      <c r="AB27" s="5" t="b">
        <v>1</v>
      </c>
      <c r="AC27" s="8">
        <v>250</v>
      </c>
    </row>
    <row r="28" spans="1:29" ht="15.5" x14ac:dyDescent="0.35">
      <c r="A28" s="6"/>
      <c r="B28" s="7" t="str">
        <f t="shared" si="0"/>
        <v xml:space="preserve">('Tratament endodontic dinte pluriradicular', </v>
      </c>
      <c r="C28" s="1" t="str">
        <f t="shared" si="1"/>
        <v xml:space="preserve">'Curățare canale pentru molari.', </v>
      </c>
      <c r="D28" s="8" t="str">
        <f t="shared" si="2"/>
        <v xml:space="preserve">350, </v>
      </c>
      <c r="E28" s="1" t="str">
        <f t="shared" si="3"/>
        <v xml:space="preserve">'90–120 min', </v>
      </c>
      <c r="F28" s="1" t="str">
        <f t="shared" si="4"/>
        <v xml:space="preserve">'Ridicată', </v>
      </c>
      <c r="G28" s="5" t="str">
        <f t="shared" si="5"/>
        <v xml:space="preserve">'Endo pluriradicular', </v>
      </c>
      <c r="H28" s="4" t="str">
        <f t="shared" si="6"/>
        <v xml:space="preserve">'Endodonție', </v>
      </c>
      <c r="I28" s="5" t="str">
        <f t="shared" si="7"/>
        <v xml:space="preserve">TRUE, </v>
      </c>
      <c r="J28" s="5" t="str">
        <f t="shared" si="8"/>
        <v xml:space="preserve">'{"conuri", "instrumente_endodontice", "pastă"}', </v>
      </c>
      <c r="K28" s="10" t="str">
        <f t="shared" si="9"/>
        <v>'Tratament endodontic dinte pluriradicular.jpg'),</v>
      </c>
      <c r="L28" s="1"/>
      <c r="P28" s="6" t="s">
        <v>9</v>
      </c>
      <c r="R28" s="7" t="s">
        <v>45</v>
      </c>
      <c r="S28" s="6" t="s">
        <v>48</v>
      </c>
      <c r="T28" s="5" t="s">
        <v>166</v>
      </c>
      <c r="U28" s="1" t="s">
        <v>190</v>
      </c>
      <c r="V28" s="1" t="s">
        <v>143</v>
      </c>
      <c r="W28" s="1" t="s">
        <v>112</v>
      </c>
      <c r="Y28" s="7" t="s">
        <v>45</v>
      </c>
      <c r="AA28" s="5" t="s">
        <v>233</v>
      </c>
      <c r="AB28" s="5" t="b">
        <v>1</v>
      </c>
      <c r="AC28" s="8">
        <v>350</v>
      </c>
    </row>
    <row r="29" spans="1:29" ht="15.5" x14ac:dyDescent="0.35">
      <c r="A29" s="6"/>
      <c r="B29" s="7" t="str">
        <f t="shared" si="0"/>
        <v xml:space="preserve">('Retratament endodontic', </v>
      </c>
      <c r="C29" s="1" t="str">
        <f t="shared" si="1"/>
        <v xml:space="preserve">'Refacere tratament canal anterior.', </v>
      </c>
      <c r="D29" s="8" t="str">
        <f t="shared" si="2"/>
        <v xml:space="preserve">350, </v>
      </c>
      <c r="E29" s="1" t="str">
        <f t="shared" si="3"/>
        <v xml:space="preserve">'90–120 min', </v>
      </c>
      <c r="F29" s="1" t="str">
        <f t="shared" si="4"/>
        <v xml:space="preserve">'Ridicată', </v>
      </c>
      <c r="G29" s="5" t="str">
        <f t="shared" si="5"/>
        <v xml:space="preserve">'Endo refacere', </v>
      </c>
      <c r="H29" s="4" t="str">
        <f t="shared" si="6"/>
        <v xml:space="preserve">'Endodonție', </v>
      </c>
      <c r="I29" s="5" t="str">
        <f t="shared" si="7"/>
        <v xml:space="preserve">TRUE, </v>
      </c>
      <c r="J29" s="5" t="str">
        <f t="shared" si="8"/>
        <v xml:space="preserve">'{"conuri", "instrumente_endodontice", "pastă"}', </v>
      </c>
      <c r="K29" s="10" t="str">
        <f t="shared" si="9"/>
        <v>'Retratament endodontic.jpg'),</v>
      </c>
      <c r="L29" s="1"/>
      <c r="P29" s="6" t="s">
        <v>9</v>
      </c>
      <c r="R29" s="7" t="s">
        <v>46</v>
      </c>
      <c r="S29" s="6" t="s">
        <v>48</v>
      </c>
      <c r="T29" s="5" t="s">
        <v>167</v>
      </c>
      <c r="U29" s="1" t="s">
        <v>190</v>
      </c>
      <c r="V29" s="1" t="s">
        <v>143</v>
      </c>
      <c r="W29" s="1" t="s">
        <v>113</v>
      </c>
      <c r="Y29" s="7" t="s">
        <v>46</v>
      </c>
      <c r="AA29" s="5" t="s">
        <v>233</v>
      </c>
      <c r="AB29" s="5" t="b">
        <v>1</v>
      </c>
      <c r="AC29" s="8">
        <v>350</v>
      </c>
    </row>
    <row r="30" spans="1:29" ht="15.5" x14ac:dyDescent="0.35">
      <c r="A30" s="6"/>
      <c r="B30" s="7" t="str">
        <f t="shared" si="0"/>
        <v xml:space="preserve">('Utilizarea microscopului ​', </v>
      </c>
      <c r="C30" s="1" t="str">
        <f t="shared" si="1"/>
        <v xml:space="preserve">'Precizie maximă în tratamente dentare.', </v>
      </c>
      <c r="D30" s="8" t="str">
        <f t="shared" si="2"/>
        <v xml:space="preserve">200, </v>
      </c>
      <c r="E30" s="1" t="str">
        <f t="shared" si="3"/>
        <v xml:space="preserve">'15–20 min', </v>
      </c>
      <c r="F30" s="1" t="str">
        <f t="shared" si="4"/>
        <v xml:space="preserve">'Ridicată', </v>
      </c>
      <c r="G30" s="5" t="str">
        <f t="shared" si="5"/>
        <v xml:space="preserve">'Microscop endo', </v>
      </c>
      <c r="H30" s="4" t="str">
        <f t="shared" si="6"/>
        <v xml:space="preserve">'Endodonție', </v>
      </c>
      <c r="I30" s="5" t="str">
        <f t="shared" si="7"/>
        <v xml:space="preserve">FALSE, </v>
      </c>
      <c r="J30" s="5" t="str">
        <f t="shared" si="8"/>
        <v xml:space="preserve">'{"Microscop_dentar", "instrumente_chirurgicale"}', </v>
      </c>
      <c r="K30" s="10" t="str">
        <f t="shared" si="9"/>
        <v>'Utilizarea microscopului ​.jpg'),</v>
      </c>
      <c r="L30" s="1"/>
      <c r="P30" s="6" t="s">
        <v>47</v>
      </c>
      <c r="R30" s="7" t="s">
        <v>82</v>
      </c>
      <c r="S30" s="6" t="s">
        <v>48</v>
      </c>
      <c r="T30" s="5" t="s">
        <v>168</v>
      </c>
      <c r="U30" s="1" t="s">
        <v>190</v>
      </c>
      <c r="V30" s="1" t="s">
        <v>134</v>
      </c>
      <c r="W30" s="1" t="s">
        <v>114</v>
      </c>
      <c r="Y30" s="7" t="s">
        <v>82</v>
      </c>
      <c r="AA30" s="5" t="s">
        <v>214</v>
      </c>
      <c r="AB30" s="5" t="b">
        <v>0</v>
      </c>
      <c r="AC30" s="8">
        <v>200</v>
      </c>
    </row>
    <row r="31" spans="1:29" ht="15.5" x14ac:dyDescent="0.35">
      <c r="A31" s="6"/>
      <c r="B31" s="7" t="str">
        <f t="shared" si="0"/>
        <v xml:space="preserve">('Radiografie locală', </v>
      </c>
      <c r="C31" s="1" t="str">
        <f t="shared" si="1"/>
        <v xml:space="preserve">'Imagine a unei zone restrânse dentare.', </v>
      </c>
      <c r="D31" s="8" t="str">
        <f t="shared" si="2"/>
        <v xml:space="preserve">35, </v>
      </c>
      <c r="E31" s="1" t="str">
        <f t="shared" si="3"/>
        <v xml:space="preserve">'5–10 min', </v>
      </c>
      <c r="F31" s="1" t="str">
        <f t="shared" si="4"/>
        <v xml:space="preserve">'Redusă', </v>
      </c>
      <c r="G31" s="5" t="str">
        <f t="shared" si="5"/>
        <v xml:space="preserve">'Rx locală', </v>
      </c>
      <c r="H31" s="4" t="str">
        <f t="shared" si="6"/>
        <v xml:space="preserve">'Radiografie (radiologie dentară)', </v>
      </c>
      <c r="I31" s="5" t="str">
        <f t="shared" si="7"/>
        <v xml:space="preserve">FALSE, </v>
      </c>
      <c r="J31" s="5" t="str">
        <f t="shared" si="8"/>
        <v xml:space="preserve">'{"Film_radiografic_sau_digital"}', </v>
      </c>
      <c r="K31" s="10" t="str">
        <f t="shared" si="9"/>
        <v>'Radiografie locală.jpg'),</v>
      </c>
      <c r="L31" s="1"/>
      <c r="P31" s="6" t="s">
        <v>53</v>
      </c>
      <c r="R31" s="7" t="s">
        <v>52</v>
      </c>
      <c r="S31" s="6" t="s">
        <v>49</v>
      </c>
      <c r="T31" s="5" t="s">
        <v>169</v>
      </c>
      <c r="U31" s="1" t="s">
        <v>188</v>
      </c>
      <c r="V31" s="1" t="s">
        <v>144</v>
      </c>
      <c r="W31" s="1" t="s">
        <v>115</v>
      </c>
      <c r="Y31" s="7" t="s">
        <v>52</v>
      </c>
      <c r="AA31" s="5" t="s">
        <v>215</v>
      </c>
      <c r="AB31" s="5" t="b">
        <v>0</v>
      </c>
      <c r="AC31" s="8">
        <v>35</v>
      </c>
    </row>
    <row r="32" spans="1:29" ht="15.5" x14ac:dyDescent="0.35">
      <c r="A32" s="6"/>
      <c r="B32" s="7" t="str">
        <f t="shared" si="0"/>
        <v xml:space="preserve">('Radiografie panoramică digitală (OPG)', </v>
      </c>
      <c r="C32" s="1" t="str">
        <f t="shared" si="1"/>
        <v xml:space="preserve">'Imagine completă a maxilarelor și dinților.', </v>
      </c>
      <c r="D32" s="8" t="str">
        <f t="shared" si="2"/>
        <v xml:space="preserve">100, </v>
      </c>
      <c r="E32" s="1" t="str">
        <f t="shared" si="3"/>
        <v xml:space="preserve">'10–15 min', </v>
      </c>
      <c r="F32" s="1" t="str">
        <f t="shared" si="4"/>
        <v xml:space="preserve">'Medie', </v>
      </c>
      <c r="G32" s="5" t="str">
        <f t="shared" si="5"/>
        <v xml:space="preserve">'Rx panoramică', </v>
      </c>
      <c r="H32" s="4" t="str">
        <f t="shared" si="6"/>
        <v xml:space="preserve">'Radiografie (radiologie dentară)', </v>
      </c>
      <c r="I32" s="5" t="str">
        <f t="shared" si="7"/>
        <v xml:space="preserve">FALSE, </v>
      </c>
      <c r="J32" s="5" t="str">
        <f t="shared" si="8"/>
        <v xml:space="preserve">'{"Film_panoramic_sau_digital"}', </v>
      </c>
      <c r="K32" s="10" t="str">
        <f t="shared" si="9"/>
        <v>'Radiografie panoramică digitală (OPG).jpg'),</v>
      </c>
      <c r="L32" s="1"/>
      <c r="P32" s="6" t="s">
        <v>55</v>
      </c>
      <c r="R32" s="7" t="s">
        <v>54</v>
      </c>
      <c r="S32" s="6" t="s">
        <v>49</v>
      </c>
      <c r="T32" s="5" t="s">
        <v>170</v>
      </c>
      <c r="U32" s="1" t="s">
        <v>189</v>
      </c>
      <c r="V32" s="1" t="s">
        <v>145</v>
      </c>
      <c r="W32" s="1" t="s">
        <v>116</v>
      </c>
      <c r="Y32" s="7" t="s">
        <v>54</v>
      </c>
      <c r="AA32" s="5" t="s">
        <v>216</v>
      </c>
      <c r="AB32" s="5" t="b">
        <v>0</v>
      </c>
      <c r="AC32" s="8">
        <v>100</v>
      </c>
    </row>
    <row r="33" spans="1:29" ht="15.5" x14ac:dyDescent="0.35">
      <c r="A33" s="6"/>
      <c r="B33" s="7" t="str">
        <f t="shared" si="0"/>
        <v xml:space="preserve">('Tomografie completă maxilară/mandibulară', </v>
      </c>
      <c r="C33" s="1" t="str">
        <f t="shared" si="1"/>
        <v xml:space="preserve">'Imagine 3D completă pentru diagnostic detaliat.', </v>
      </c>
      <c r="D33" s="8" t="str">
        <f t="shared" si="2"/>
        <v xml:space="preserve">750, </v>
      </c>
      <c r="E33" s="1" t="str">
        <f t="shared" si="3"/>
        <v xml:space="preserve">'15–20 min', </v>
      </c>
      <c r="F33" s="1" t="str">
        <f t="shared" si="4"/>
        <v xml:space="preserve">'Ridicată', </v>
      </c>
      <c r="G33" s="5" t="str">
        <f t="shared" si="5"/>
        <v xml:space="preserve">'CT complet', </v>
      </c>
      <c r="H33" s="4" t="str">
        <f t="shared" si="6"/>
        <v xml:space="preserve">'Radiografie (radiologie dentară)', </v>
      </c>
      <c r="I33" s="5" t="str">
        <f t="shared" si="7"/>
        <v xml:space="preserve">FALSE, </v>
      </c>
      <c r="J33" s="5" t="str">
        <f t="shared" si="8"/>
        <v xml:space="preserve">'{"Tomograf", "echipamente_imagistică_3D"}', </v>
      </c>
      <c r="K33" s="10" t="str">
        <f t="shared" si="9"/>
        <v>'Tomografie completă maxilară/mandibulară.jpg'),</v>
      </c>
      <c r="L33" s="1"/>
      <c r="P33" s="6" t="s">
        <v>57</v>
      </c>
      <c r="R33" s="7" t="s">
        <v>56</v>
      </c>
      <c r="S33" s="6" t="s">
        <v>49</v>
      </c>
      <c r="T33" s="5" t="s">
        <v>171</v>
      </c>
      <c r="U33" s="1" t="s">
        <v>190</v>
      </c>
      <c r="V33" s="1" t="s">
        <v>134</v>
      </c>
      <c r="W33" s="1" t="s">
        <v>117</v>
      </c>
      <c r="Y33" s="7" t="s">
        <v>56</v>
      </c>
      <c r="AA33" s="5" t="s">
        <v>217</v>
      </c>
      <c r="AB33" s="5" t="b">
        <v>0</v>
      </c>
      <c r="AC33" s="8">
        <v>750</v>
      </c>
    </row>
    <row r="34" spans="1:29" ht="15.5" x14ac:dyDescent="0.35">
      <c r="A34" s="6"/>
      <c r="B34" s="7" t="str">
        <f t="shared" si="0"/>
        <v xml:space="preserve">('Tomografie parțială maxilară/mandibulară ', </v>
      </c>
      <c r="C34" s="1" t="str">
        <f t="shared" si="1"/>
        <v xml:space="preserve">'Scanare 3D a unei zone limitate.', </v>
      </c>
      <c r="D34" s="8" t="str">
        <f t="shared" si="2"/>
        <v xml:space="preserve">450, </v>
      </c>
      <c r="E34" s="1" t="str">
        <f t="shared" si="3"/>
        <v xml:space="preserve">'10–15 min', </v>
      </c>
      <c r="F34" s="1" t="str">
        <f t="shared" si="4"/>
        <v xml:space="preserve">'Ridicată', </v>
      </c>
      <c r="G34" s="5" t="str">
        <f t="shared" si="5"/>
        <v xml:space="preserve">'CT parțial', </v>
      </c>
      <c r="H34" s="4" t="str">
        <f t="shared" si="6"/>
        <v xml:space="preserve">'Radiografie (radiologie dentară)', </v>
      </c>
      <c r="I34" s="5" t="str">
        <f t="shared" si="7"/>
        <v xml:space="preserve">FALSE, </v>
      </c>
      <c r="J34" s="5" t="str">
        <f t="shared" si="8"/>
        <v xml:space="preserve">'{"Tomograf", "echipamente_imagistică_3D"}', </v>
      </c>
      <c r="K34" s="10" t="str">
        <f t="shared" si="9"/>
        <v>'Tomografie parțială maxilară/mandibulară .jpg'),</v>
      </c>
      <c r="L34" s="1"/>
      <c r="P34" s="6" t="s">
        <v>58</v>
      </c>
      <c r="R34" s="7" t="s">
        <v>83</v>
      </c>
      <c r="S34" s="6" t="s">
        <v>49</v>
      </c>
      <c r="T34" s="5" t="s">
        <v>172</v>
      </c>
      <c r="U34" s="1" t="s">
        <v>190</v>
      </c>
      <c r="V34" s="1" t="s">
        <v>145</v>
      </c>
      <c r="W34" s="1" t="s">
        <v>118</v>
      </c>
      <c r="Y34" s="7" t="s">
        <v>83</v>
      </c>
      <c r="AA34" s="5" t="s">
        <v>217</v>
      </c>
      <c r="AB34" s="5" t="b">
        <v>0</v>
      </c>
      <c r="AC34" s="8">
        <v>450</v>
      </c>
    </row>
    <row r="35" spans="1:29" ht="15.5" x14ac:dyDescent="0.35">
      <c r="A35" s="6"/>
      <c r="B35" s="7" t="str">
        <f t="shared" si="0"/>
        <v xml:space="preserve">('Extracție dinte monoradicular', </v>
      </c>
      <c r="C35" s="1" t="str">
        <f t="shared" si="1"/>
        <v xml:space="preserve">'Îndepărtare dinte cu o rădăcină.', </v>
      </c>
      <c r="D35" s="8" t="str">
        <f t="shared" si="2"/>
        <v xml:space="preserve">250, </v>
      </c>
      <c r="E35" s="1" t="str">
        <f t="shared" si="3"/>
        <v xml:space="preserve">'20–30 min', </v>
      </c>
      <c r="F35" s="1" t="str">
        <f t="shared" si="4"/>
        <v xml:space="preserve">'Medie', </v>
      </c>
      <c r="G35" s="5" t="str">
        <f t="shared" si="5"/>
        <v xml:space="preserve">'Extracție simplă', </v>
      </c>
      <c r="H35" s="4" t="str">
        <f t="shared" si="6"/>
        <v xml:space="preserve">'Chirurgie dento-alveolară', </v>
      </c>
      <c r="I35" s="5" t="str">
        <f t="shared" si="7"/>
        <v xml:space="preserve">TRUE, </v>
      </c>
      <c r="J35" s="5" t="str">
        <f t="shared" si="8"/>
        <v xml:space="preserve">'{"Anestezic_local", "instrumente_extracție"}', </v>
      </c>
      <c r="K35" s="10" t="str">
        <f t="shared" si="9"/>
        <v>'Extracție dinte monoradicular.jpg'),</v>
      </c>
      <c r="L35" s="1"/>
      <c r="P35" s="6" t="s">
        <v>60</v>
      </c>
      <c r="R35" s="7" t="s">
        <v>59</v>
      </c>
      <c r="S35" s="6" t="s">
        <v>50</v>
      </c>
      <c r="T35" s="5" t="s">
        <v>173</v>
      </c>
      <c r="U35" s="1" t="s">
        <v>189</v>
      </c>
      <c r="V35" s="1" t="s">
        <v>133</v>
      </c>
      <c r="W35" s="1" t="s">
        <v>119</v>
      </c>
      <c r="Y35" s="7" t="s">
        <v>59</v>
      </c>
      <c r="AA35" s="5" t="s">
        <v>218</v>
      </c>
      <c r="AB35" s="5" t="b">
        <v>1</v>
      </c>
      <c r="AC35" s="8">
        <v>250</v>
      </c>
    </row>
    <row r="36" spans="1:29" ht="15.5" x14ac:dyDescent="0.35">
      <c r="A36" s="6"/>
      <c r="B36" s="7" t="str">
        <f t="shared" si="0"/>
        <v xml:space="preserve">('Extracție dinte pluriradicular', </v>
      </c>
      <c r="C36" s="1" t="str">
        <f t="shared" si="1"/>
        <v xml:space="preserve">'Îndepărtare molar cu mai multe rădăcini.', </v>
      </c>
      <c r="D36" s="8" t="str">
        <f t="shared" si="2"/>
        <v xml:space="preserve">300, </v>
      </c>
      <c r="E36" s="1" t="str">
        <f t="shared" si="3"/>
        <v xml:space="preserve">'30–45 min', </v>
      </c>
      <c r="F36" s="1" t="str">
        <f t="shared" si="4"/>
        <v xml:space="preserve">'Ridicată', </v>
      </c>
      <c r="G36" s="5" t="str">
        <f t="shared" si="5"/>
        <v xml:space="preserve">'Extracție molar', </v>
      </c>
      <c r="H36" s="4" t="str">
        <f t="shared" si="6"/>
        <v xml:space="preserve">'Chirurgie dento-alveolară', </v>
      </c>
      <c r="I36" s="5" t="str">
        <f t="shared" si="7"/>
        <v xml:space="preserve">TRUE, </v>
      </c>
      <c r="J36" s="5" t="str">
        <f t="shared" si="8"/>
        <v xml:space="preserve">'{"Anestezic_local", "instrumente_extracție"}', </v>
      </c>
      <c r="K36" s="10" t="str">
        <f t="shared" si="9"/>
        <v>'Extracție dinte pluriradicular.jpg'),</v>
      </c>
      <c r="L36" s="1"/>
      <c r="P36" s="6" t="s">
        <v>62</v>
      </c>
      <c r="R36" s="7" t="s">
        <v>61</v>
      </c>
      <c r="S36" s="6" t="s">
        <v>50</v>
      </c>
      <c r="T36" s="5" t="s">
        <v>174</v>
      </c>
      <c r="U36" s="1" t="s">
        <v>190</v>
      </c>
      <c r="V36" s="1" t="s">
        <v>146</v>
      </c>
      <c r="W36" s="1" t="s">
        <v>120</v>
      </c>
      <c r="Y36" s="7" t="s">
        <v>61</v>
      </c>
      <c r="AA36" s="5" t="s">
        <v>218</v>
      </c>
      <c r="AB36" s="5" t="b">
        <v>1</v>
      </c>
      <c r="AC36" s="8">
        <v>300</v>
      </c>
    </row>
    <row r="37" spans="1:29" ht="15.5" x14ac:dyDescent="0.35">
      <c r="A37" s="6"/>
      <c r="B37" s="7" t="str">
        <f t="shared" si="0"/>
        <v xml:space="preserve">('Extracție molar de minte', </v>
      </c>
      <c r="C37" s="1" t="str">
        <f t="shared" si="1"/>
        <v xml:space="preserve">'Îndepărtare măsea de minte.', </v>
      </c>
      <c r="D37" s="8" t="str">
        <f t="shared" si="2"/>
        <v xml:space="preserve">500, </v>
      </c>
      <c r="E37" s="1" t="str">
        <f t="shared" si="3"/>
        <v xml:space="preserve">'45–60 min', </v>
      </c>
      <c r="F37" s="1" t="str">
        <f t="shared" si="4"/>
        <v xml:space="preserve">'Ridicată', </v>
      </c>
      <c r="G37" s="5" t="str">
        <f t="shared" si="5"/>
        <v xml:space="preserve">'Extracție minte', </v>
      </c>
      <c r="H37" s="4" t="str">
        <f t="shared" si="6"/>
        <v xml:space="preserve">'Chirurgie dento-alveolară', </v>
      </c>
      <c r="I37" s="5" t="str">
        <f t="shared" si="7"/>
        <v xml:space="preserve">TRUE, </v>
      </c>
      <c r="J37" s="5" t="str">
        <f t="shared" si="8"/>
        <v xml:space="preserve">'{"Anestezic_local", "instrumente_extracție"}', </v>
      </c>
      <c r="K37" s="10" t="str">
        <f t="shared" si="9"/>
        <v>'Extracție molar de minte.jpg'),</v>
      </c>
      <c r="L37" s="1"/>
      <c r="P37" s="6" t="s">
        <v>64</v>
      </c>
      <c r="R37" s="7" t="s">
        <v>63</v>
      </c>
      <c r="S37" s="6" t="s">
        <v>50</v>
      </c>
      <c r="T37" s="5" t="s">
        <v>175</v>
      </c>
      <c r="U37" s="1" t="s">
        <v>190</v>
      </c>
      <c r="V37" s="1" t="s">
        <v>135</v>
      </c>
      <c r="W37" s="1" t="s">
        <v>121</v>
      </c>
      <c r="Y37" s="7" t="s">
        <v>63</v>
      </c>
      <c r="AA37" s="5" t="s">
        <v>218</v>
      </c>
      <c r="AB37" s="5" t="b">
        <v>1</v>
      </c>
      <c r="AC37" s="8">
        <v>500</v>
      </c>
    </row>
    <row r="38" spans="1:29" ht="15.5" x14ac:dyDescent="0.35">
      <c r="A38" s="6"/>
      <c r="B38" s="7" t="str">
        <f t="shared" si="0"/>
        <v xml:space="preserve">('Extracție dinte temporar', </v>
      </c>
      <c r="C38" s="1" t="str">
        <f t="shared" si="1"/>
        <v xml:space="preserve">'Scoaterea unui dinte de lapte.', </v>
      </c>
      <c r="D38" s="8" t="str">
        <f t="shared" si="2"/>
        <v xml:space="preserve">120, </v>
      </c>
      <c r="E38" s="1" t="str">
        <f t="shared" si="3"/>
        <v xml:space="preserve">'15–20 min', </v>
      </c>
      <c r="F38" s="1" t="str">
        <f t="shared" si="4"/>
        <v xml:space="preserve">'Redusă', </v>
      </c>
      <c r="G38" s="5" t="str">
        <f t="shared" si="5"/>
        <v xml:space="preserve">'Extracție temporar', </v>
      </c>
      <c r="H38" s="4" t="str">
        <f t="shared" si="6"/>
        <v xml:space="preserve">'Chirurgie dento-alveolară', </v>
      </c>
      <c r="I38" s="5" t="str">
        <f t="shared" si="7"/>
        <v xml:space="preserve">TRUE, </v>
      </c>
      <c r="J38" s="5" t="str">
        <f t="shared" si="8"/>
        <v xml:space="preserve">'{"Anestezic_local", "instrumente_extracție"}', </v>
      </c>
      <c r="K38" s="10" t="str">
        <f t="shared" si="9"/>
        <v>'Extracție dinte temporar.jpg'),</v>
      </c>
      <c r="L38" s="1"/>
      <c r="P38" s="6" t="s">
        <v>66</v>
      </c>
      <c r="R38" s="7" t="s">
        <v>65</v>
      </c>
      <c r="S38" s="6" t="s">
        <v>50</v>
      </c>
      <c r="T38" s="5" t="s">
        <v>176</v>
      </c>
      <c r="U38" s="1" t="s">
        <v>188</v>
      </c>
      <c r="V38" s="1" t="s">
        <v>134</v>
      </c>
      <c r="W38" s="1" t="s">
        <v>122</v>
      </c>
      <c r="Y38" s="7" t="s">
        <v>65</v>
      </c>
      <c r="AA38" s="5" t="s">
        <v>218</v>
      </c>
      <c r="AB38" s="5" t="b">
        <v>1</v>
      </c>
      <c r="AC38" s="8">
        <v>120</v>
      </c>
    </row>
    <row r="39" spans="1:29" ht="15.5" x14ac:dyDescent="0.35">
      <c r="A39" s="6"/>
      <c r="B39" s="7" t="str">
        <f t="shared" si="0"/>
        <v xml:space="preserve">('Rezecție apicală', </v>
      </c>
      <c r="C39" s="1" t="str">
        <f t="shared" si="1"/>
        <v xml:space="preserve">'Îndepărtarea vârfului unei rădăcini infectate.', </v>
      </c>
      <c r="D39" s="8" t="str">
        <f t="shared" si="2"/>
        <v xml:space="preserve">400, </v>
      </c>
      <c r="E39" s="1" t="str">
        <f t="shared" si="3"/>
        <v xml:space="preserve">'60–90 min', </v>
      </c>
      <c r="F39" s="1" t="str">
        <f t="shared" si="4"/>
        <v xml:space="preserve">'Ridicată', </v>
      </c>
      <c r="G39" s="5" t="str">
        <f t="shared" si="5"/>
        <v xml:space="preserve">'Rezecție apicală', </v>
      </c>
      <c r="H39" s="4" t="str">
        <f t="shared" si="6"/>
        <v xml:space="preserve">'Chirurgie dento-alveolară', </v>
      </c>
      <c r="I39" s="5" t="str">
        <f t="shared" si="7"/>
        <v xml:space="preserve">TRUE, </v>
      </c>
      <c r="J39" s="5" t="str">
        <f t="shared" si="8"/>
        <v xml:space="preserve">'{"Instrumente_chirurgicale", "anestezic", "material_sutură"}', </v>
      </c>
      <c r="K39" s="10" t="str">
        <f t="shared" si="9"/>
        <v>'Rezecție apicală.jpg'),</v>
      </c>
      <c r="L39" s="1"/>
      <c r="P39" s="6" t="s">
        <v>68</v>
      </c>
      <c r="R39" s="7" t="s">
        <v>67</v>
      </c>
      <c r="S39" s="6" t="s">
        <v>50</v>
      </c>
      <c r="T39" s="5" t="s">
        <v>67</v>
      </c>
      <c r="U39" s="1" t="s">
        <v>190</v>
      </c>
      <c r="V39" s="1" t="s">
        <v>136</v>
      </c>
      <c r="W39" s="1" t="s">
        <v>123</v>
      </c>
      <c r="Y39" s="7" t="s">
        <v>67</v>
      </c>
      <c r="AA39" s="5" t="s">
        <v>219</v>
      </c>
      <c r="AB39" s="5" t="b">
        <v>1</v>
      </c>
      <c r="AC39" s="8">
        <v>400</v>
      </c>
    </row>
    <row r="40" spans="1:29" ht="15.5" x14ac:dyDescent="0.35">
      <c r="A40" s="6"/>
      <c r="B40" s="7" t="str">
        <f t="shared" si="0"/>
        <v xml:space="preserve">('Drenaj abces', </v>
      </c>
      <c r="C40" s="1" t="str">
        <f t="shared" si="1"/>
        <v xml:space="preserve">'Eliminarea puroiului dintr-o infecție.', </v>
      </c>
      <c r="D40" s="8" t="str">
        <f t="shared" si="2"/>
        <v xml:space="preserve">100, </v>
      </c>
      <c r="E40" s="1" t="str">
        <f t="shared" si="3"/>
        <v xml:space="preserve">'15–30 min', </v>
      </c>
      <c r="F40" s="1" t="str">
        <f t="shared" si="4"/>
        <v xml:space="preserve">'Medie', </v>
      </c>
      <c r="G40" s="5" t="str">
        <f t="shared" si="5"/>
        <v xml:space="preserve">'Drenaj abces', </v>
      </c>
      <c r="H40" s="4" t="str">
        <f t="shared" si="6"/>
        <v xml:space="preserve">'Chirurgie dento-alveolară', </v>
      </c>
      <c r="I40" s="5" t="str">
        <f t="shared" si="7"/>
        <v xml:space="preserve">TRUE, </v>
      </c>
      <c r="J40" s="5" t="str">
        <f t="shared" si="8"/>
        <v xml:space="preserve">'{"Instrumente_chirurgicale", "drenuri", "anestezic"}', </v>
      </c>
      <c r="K40" s="10" t="str">
        <f t="shared" si="9"/>
        <v>'Drenaj abces.jpg'),</v>
      </c>
      <c r="L40" s="1"/>
      <c r="P40" s="6" t="s">
        <v>70</v>
      </c>
      <c r="R40" s="7" t="s">
        <v>69</v>
      </c>
      <c r="S40" s="6" t="s">
        <v>50</v>
      </c>
      <c r="T40" s="5" t="s">
        <v>69</v>
      </c>
      <c r="U40" s="1" t="s">
        <v>189</v>
      </c>
      <c r="V40" s="1" t="s">
        <v>131</v>
      </c>
      <c r="W40" s="1" t="s">
        <v>124</v>
      </c>
      <c r="Y40" s="7" t="s">
        <v>69</v>
      </c>
      <c r="AA40" s="5" t="s">
        <v>220</v>
      </c>
      <c r="AB40" s="5" t="b">
        <v>1</v>
      </c>
      <c r="AC40" s="8">
        <v>100</v>
      </c>
    </row>
    <row r="41" spans="1:29" ht="15.5" x14ac:dyDescent="0.35">
      <c r="A41" s="6"/>
      <c r="B41" s="7" t="str">
        <f t="shared" si="0"/>
        <v xml:space="preserve">('Consultație stomatologie pediatrică', </v>
      </c>
      <c r="C41" s="1" t="str">
        <f t="shared" si="1"/>
        <v xml:space="preserve">'Verificare orală pentru copii.', </v>
      </c>
      <c r="D41" s="8" t="str">
        <f t="shared" si="2"/>
        <v xml:space="preserve">200, </v>
      </c>
      <c r="E41" s="1" t="str">
        <f t="shared" si="3"/>
        <v xml:space="preserve">'15–20 min', </v>
      </c>
      <c r="F41" s="1" t="str">
        <f t="shared" si="4"/>
        <v xml:space="preserve">'Redusă', </v>
      </c>
      <c r="G41" s="5" t="str">
        <f t="shared" si="5"/>
        <v xml:space="preserve">'Consult copil', </v>
      </c>
      <c r="H41" s="4" t="str">
        <f t="shared" si="6"/>
        <v xml:space="preserve">'Stomatologie pediatrică', </v>
      </c>
      <c r="I41" s="5" t="str">
        <f t="shared" si="7"/>
        <v xml:space="preserve">FALSE, </v>
      </c>
      <c r="J41" s="5" t="str">
        <f t="shared" si="8"/>
        <v xml:space="preserve">'{"Echipamente_evaluare"}', </v>
      </c>
      <c r="K41" s="10" t="str">
        <f t="shared" si="9"/>
        <v>'Consultație stomatologie pediatrică.jpg'),</v>
      </c>
      <c r="L41" s="1"/>
      <c r="P41" s="6" t="s">
        <v>42</v>
      </c>
      <c r="R41" s="7" t="s">
        <v>71</v>
      </c>
      <c r="S41" s="6" t="s">
        <v>51</v>
      </c>
      <c r="T41" s="5" t="s">
        <v>177</v>
      </c>
      <c r="U41" s="1" t="s">
        <v>188</v>
      </c>
      <c r="V41" s="1" t="s">
        <v>134</v>
      </c>
      <c r="W41" s="1" t="s">
        <v>125</v>
      </c>
      <c r="Y41" s="7" t="s">
        <v>71</v>
      </c>
      <c r="AA41" s="5" t="s">
        <v>203</v>
      </c>
      <c r="AB41" s="5" t="b">
        <v>0</v>
      </c>
      <c r="AC41" s="8">
        <v>200</v>
      </c>
    </row>
    <row r="42" spans="1:29" ht="15.5" x14ac:dyDescent="0.35">
      <c r="A42" s="6"/>
      <c r="B42" s="7" t="str">
        <f t="shared" si="0"/>
        <v xml:space="preserve">('Consultație pedodontică de specialitate', </v>
      </c>
      <c r="C42" s="1" t="str">
        <f t="shared" si="1"/>
        <v xml:space="preserve">'Evaluare detaliată la specialist pentru copii.', </v>
      </c>
      <c r="D42" s="8" t="str">
        <f t="shared" si="2"/>
        <v xml:space="preserve">250, </v>
      </c>
      <c r="E42" s="1" t="str">
        <f t="shared" si="3"/>
        <v xml:space="preserve">'20–30 min', </v>
      </c>
      <c r="F42" s="1" t="str">
        <f t="shared" si="4"/>
        <v xml:space="preserve">'Medie', </v>
      </c>
      <c r="G42" s="5" t="str">
        <f t="shared" si="5"/>
        <v xml:space="preserve">'Pedodont special', </v>
      </c>
      <c r="H42" s="4" t="str">
        <f t="shared" si="6"/>
        <v xml:space="preserve">'Stomatologie pediatrică', </v>
      </c>
      <c r="I42" s="5" t="str">
        <f t="shared" si="7"/>
        <v xml:space="preserve">FALSE, </v>
      </c>
      <c r="J42" s="5" t="str">
        <f t="shared" si="8"/>
        <v xml:space="preserve">'{"Echipamente_evaluare"}', </v>
      </c>
      <c r="K42" s="10" t="str">
        <f t="shared" si="9"/>
        <v>'Consultație pedodontică de specialitate.jpg'),</v>
      </c>
      <c r="L42" s="1"/>
      <c r="P42" s="6" t="s">
        <v>60</v>
      </c>
      <c r="R42" s="7" t="s">
        <v>72</v>
      </c>
      <c r="S42" s="6" t="s">
        <v>51</v>
      </c>
      <c r="T42" s="5" t="s">
        <v>178</v>
      </c>
      <c r="U42" s="1" t="s">
        <v>189</v>
      </c>
      <c r="V42" s="1" t="s">
        <v>133</v>
      </c>
      <c r="W42" s="1" t="s">
        <v>126</v>
      </c>
      <c r="Y42" s="7" t="s">
        <v>72</v>
      </c>
      <c r="AA42" s="5" t="s">
        <v>203</v>
      </c>
      <c r="AB42" s="5" t="b">
        <v>0</v>
      </c>
      <c r="AC42" s="8">
        <v>250</v>
      </c>
    </row>
    <row r="43" spans="1:29" ht="15.5" x14ac:dyDescent="0.35">
      <c r="A43" s="6"/>
      <c r="B43" s="7" t="str">
        <f t="shared" si="0"/>
        <v xml:space="preserve">('Anestezie locală computerizată DentaPen / sedinta ', </v>
      </c>
      <c r="C43" s="1" t="str">
        <f t="shared" si="1"/>
        <v xml:space="preserve">'Anestezie precisă și confortabilă.', </v>
      </c>
      <c r="D43" s="8" t="str">
        <f t="shared" si="2"/>
        <v xml:space="preserve">90, </v>
      </c>
      <c r="E43" s="1" t="str">
        <f t="shared" si="3"/>
        <v xml:space="preserve">'5–10 min', </v>
      </c>
      <c r="F43" s="1" t="str">
        <f t="shared" si="4"/>
        <v xml:space="preserve">'Redusă', </v>
      </c>
      <c r="G43" s="5" t="str">
        <f t="shared" si="5"/>
        <v xml:space="preserve">'Anestezie digitală', </v>
      </c>
      <c r="H43" s="4" t="str">
        <f t="shared" si="6"/>
        <v xml:space="preserve">'Stomatologie pediatrică', </v>
      </c>
      <c r="I43" s="5" t="str">
        <f t="shared" si="7"/>
        <v xml:space="preserve">FALSE, </v>
      </c>
      <c r="J43" s="5" t="str">
        <f t="shared" si="8"/>
        <v xml:space="preserve">'{"Dispozitiv_DentaPen", "anestezic"}', </v>
      </c>
      <c r="K43" s="10" t="str">
        <f t="shared" si="9"/>
        <v>'Anestezie locală computerizată DentaPen / sedinta .jpg'),</v>
      </c>
      <c r="L43" s="1"/>
      <c r="P43" s="6" t="s">
        <v>75</v>
      </c>
      <c r="R43" s="7" t="s">
        <v>76</v>
      </c>
      <c r="S43" s="6" t="s">
        <v>51</v>
      </c>
      <c r="T43" s="5" t="s">
        <v>179</v>
      </c>
      <c r="U43" s="1" t="s">
        <v>188</v>
      </c>
      <c r="V43" s="1" t="s">
        <v>144</v>
      </c>
      <c r="W43" s="1" t="s">
        <v>127</v>
      </c>
      <c r="Y43" s="7" t="s">
        <v>76</v>
      </c>
      <c r="AA43" s="5" t="s">
        <v>221</v>
      </c>
      <c r="AB43" s="5" t="b">
        <v>0</v>
      </c>
      <c r="AC43" s="8">
        <v>90</v>
      </c>
    </row>
    <row r="44" spans="1:29" ht="15.5" x14ac:dyDescent="0.35">
      <c r="A44" s="6"/>
      <c r="B44" s="7" t="str">
        <f t="shared" si="0"/>
        <v xml:space="preserve">('Inhalosedare cu protoxid de azot pentru copii / ședință', </v>
      </c>
      <c r="C44" s="1" t="str">
        <f t="shared" si="1"/>
        <v xml:space="preserve">'Relaxare ușoară pentru copii anxioși.', </v>
      </c>
      <c r="D44" s="8" t="str">
        <f t="shared" si="2"/>
        <v xml:space="preserve">450, </v>
      </c>
      <c r="E44" s="1" t="str">
        <f t="shared" si="3"/>
        <v xml:space="preserve">'15–30 min', </v>
      </c>
      <c r="F44" s="1" t="str">
        <f t="shared" si="4"/>
        <v xml:space="preserve">'Medie', </v>
      </c>
      <c r="G44" s="5" t="str">
        <f t="shared" si="5"/>
        <v xml:space="preserve">'Inhalosedare copil', </v>
      </c>
      <c r="H44" s="4" t="str">
        <f t="shared" si="6"/>
        <v xml:space="preserve">'Stomatologie pediatrică', </v>
      </c>
      <c r="I44" s="5" t="str">
        <f t="shared" si="7"/>
        <v xml:space="preserve">FALSE, </v>
      </c>
      <c r="J44" s="5" t="str">
        <f t="shared" si="8"/>
        <v xml:space="preserve">'{"Echipamente_inhalosedare", "protoxid_de_azot"}', </v>
      </c>
      <c r="K44" s="10" t="str">
        <f t="shared" si="9"/>
        <v>'Inhalosedare cu protoxid de azot pentru copii / ședință.jpg'),</v>
      </c>
      <c r="L44" s="1"/>
      <c r="P44" s="6" t="s">
        <v>74</v>
      </c>
      <c r="R44" s="7" t="s">
        <v>73</v>
      </c>
      <c r="S44" s="6" t="s">
        <v>51</v>
      </c>
      <c r="T44" s="5" t="s">
        <v>180</v>
      </c>
      <c r="U44" s="1" t="s">
        <v>189</v>
      </c>
      <c r="V44" s="1" t="s">
        <v>131</v>
      </c>
      <c r="W44" s="1" t="s">
        <v>128</v>
      </c>
      <c r="Y44" s="7" t="s">
        <v>73</v>
      </c>
      <c r="AA44" s="5" t="s">
        <v>222</v>
      </c>
      <c r="AB44" s="5" t="b">
        <v>0</v>
      </c>
      <c r="AC44" s="8">
        <v>450</v>
      </c>
    </row>
    <row r="45" spans="1:29" ht="15.5" x14ac:dyDescent="0.35">
      <c r="A45" s="6"/>
      <c r="B45" s="7" t="str">
        <f t="shared" si="0"/>
        <v xml:space="preserve">('Sigilare dentară (dinte sănătos, prevenție carii)/dinte ', </v>
      </c>
      <c r="C45" s="1" t="str">
        <f t="shared" si="1"/>
        <v xml:space="preserve">'Protecție împotriva cariilor pentru dinți sănătoși.', </v>
      </c>
      <c r="D45" s="8" t="str">
        <f t="shared" si="2"/>
        <v xml:space="preserve">150, </v>
      </c>
      <c r="E45" s="1" t="str">
        <f t="shared" si="3"/>
        <v xml:space="preserve">'10–15 min', </v>
      </c>
      <c r="F45" s="1" t="str">
        <f t="shared" si="4"/>
        <v xml:space="preserve">'Redusă', </v>
      </c>
      <c r="G45" s="5" t="str">
        <f t="shared" si="5"/>
        <v xml:space="preserve">'Sigilare carii', </v>
      </c>
      <c r="H45" s="4" t="str">
        <f t="shared" si="6"/>
        <v xml:space="preserve">'Stomatologie pediatrică', </v>
      </c>
      <c r="I45" s="5" t="str">
        <f t="shared" si="7"/>
        <v xml:space="preserve">FALSE, </v>
      </c>
      <c r="J45" s="5" t="str">
        <f t="shared" si="8"/>
        <v xml:space="preserve">'{"Materiale_sigilante", "aplicatoare"}', </v>
      </c>
      <c r="K45" s="10" t="str">
        <f t="shared" si="9"/>
        <v>'Sigilare dentară (dinte sănătos, prevenție carii)/dinte .jpg'),</v>
      </c>
      <c r="L45" s="1"/>
      <c r="P45" s="6" t="s">
        <v>77</v>
      </c>
      <c r="R45" s="7" t="s">
        <v>84</v>
      </c>
      <c r="S45" s="6" t="s">
        <v>51</v>
      </c>
      <c r="T45" s="5" t="s">
        <v>181</v>
      </c>
      <c r="U45" s="1" t="s">
        <v>188</v>
      </c>
      <c r="V45" s="1" t="s">
        <v>145</v>
      </c>
      <c r="W45" s="1" t="s">
        <v>129</v>
      </c>
      <c r="Y45" s="7" t="s">
        <v>84</v>
      </c>
      <c r="AA45" s="5" t="s">
        <v>223</v>
      </c>
      <c r="AB45" s="5" t="b">
        <v>0</v>
      </c>
      <c r="AC45" s="8">
        <v>150</v>
      </c>
    </row>
    <row r="46" spans="1:29" ht="15.5" x14ac:dyDescent="0.35">
      <c r="A46" s="6"/>
      <c r="B46" s="7" t="str">
        <f t="shared" si="0"/>
        <v xml:space="preserve">('Tratament carie dentară (obturatie)/dinte ', </v>
      </c>
      <c r="C46" s="1" t="str">
        <f t="shared" si="1"/>
        <v xml:space="preserve">'Curățare și plombare carie dentară.', </v>
      </c>
      <c r="D46" s="8" t="str">
        <f t="shared" si="2"/>
        <v xml:space="preserve">250, </v>
      </c>
      <c r="E46" s="1" t="str">
        <f t="shared" si="3"/>
        <v xml:space="preserve">'30–45 min', </v>
      </c>
      <c r="F46" s="1" t="str">
        <f t="shared" si="4"/>
        <v xml:space="preserve">'Medie', </v>
      </c>
      <c r="G46" s="5" t="str">
        <f t="shared" si="5"/>
        <v xml:space="preserve">'Plombă dentară', </v>
      </c>
      <c r="H46" s="4" t="str">
        <f t="shared" si="6"/>
        <v xml:space="preserve">'Stomatologie pediatrică', </v>
      </c>
      <c r="I46" s="5" t="str">
        <f t="shared" si="7"/>
        <v xml:space="preserve">TRUE, </v>
      </c>
      <c r="J46" s="5" t="str">
        <f t="shared" si="8"/>
        <v xml:space="preserve">'{"compozit", "amalgam", "fotopolimerizabil"}', </v>
      </c>
      <c r="K46" s="10" t="str">
        <f t="shared" si="9"/>
        <v>'Tratament carie dentară (obturatie)/dinte .jpg'),</v>
      </c>
      <c r="L46" s="1"/>
      <c r="P46" s="6" t="s">
        <v>11</v>
      </c>
      <c r="R46" s="7" t="s">
        <v>85</v>
      </c>
      <c r="S46" s="6" t="s">
        <v>51</v>
      </c>
      <c r="T46" s="5" t="s">
        <v>182</v>
      </c>
      <c r="U46" s="1" t="s">
        <v>189</v>
      </c>
      <c r="V46" s="1" t="s">
        <v>146</v>
      </c>
      <c r="W46" s="1" t="s">
        <v>130</v>
      </c>
      <c r="Y46" s="7" t="s">
        <v>85</v>
      </c>
      <c r="AA46" s="5" t="s">
        <v>224</v>
      </c>
      <c r="AB46" s="5" t="b">
        <v>1</v>
      </c>
      <c r="AC46" s="8">
        <v>250</v>
      </c>
    </row>
    <row r="47" spans="1:29" x14ac:dyDescent="0.35">
      <c r="A47" s="3"/>
    </row>
    <row r="48" spans="1:29" ht="15" x14ac:dyDescent="0.35">
      <c r="P48" s="2"/>
    </row>
  </sheetData>
  <sortState xmlns:xlrd2="http://schemas.microsoft.com/office/spreadsheetml/2017/richdata2" ref="R2:R55">
    <sortCondition ref="R1:R55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Ana-Maria</dc:creator>
  <cp:lastModifiedBy>Ana-Maria Vizireanu</cp:lastModifiedBy>
  <dcterms:created xsi:type="dcterms:W3CDTF">2015-06-05T18:17:20Z</dcterms:created>
  <dcterms:modified xsi:type="dcterms:W3CDTF">2025-05-25T17:41:47Z</dcterms:modified>
</cp:coreProperties>
</file>